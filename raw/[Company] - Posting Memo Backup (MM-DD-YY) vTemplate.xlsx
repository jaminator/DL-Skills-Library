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rinterSettings/printerSettings1.bin" ContentType="application/vnd.openxmlformats-officedocument.spreadsheetml.printerSettings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centerbridge.sharepoint.com/sites/Overland/Shared Documents/00 Underwriting Templates/03 Excel Templates/"/>
    </mc:Choice>
  </mc:AlternateContent>
  <xr:revisionPtr revIDLastSave="91" documentId="13_ncr:1_{18034EB9-A266-476A-9BFE-15D49EDEB163}" xr6:coauthVersionLast="47" xr6:coauthVersionMax="47" xr10:uidLastSave="{854D2FEB-132A-4509-8CDA-A5F421257DD1}"/>
  <bookViews>
    <workbookView xWindow="28680" yWindow="-120" windowWidth="29040" windowHeight="17520" xr2:uid="{0D607741-FB92-46F3-A5D6-B9FE08FE9FA9}"/>
  </bookViews>
  <sheets>
    <sheet name="SUCAP" sheetId="1" r:id="rId1"/>
    <sheet name="FinSum" sheetId="7" r:id="rId2"/>
    <sheet name="Detailed FinSum" sheetId="6" r:id="rId3"/>
    <sheet name="Returns" sheetId="5" r:id="rId4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45338.8872106482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1" l="1"/>
  <c r="I26" i="1"/>
  <c r="C43" i="1"/>
  <c r="C13" i="1"/>
  <c r="C11" i="1"/>
  <c r="P14" i="1"/>
  <c r="P12" i="1"/>
  <c r="P18" i="1"/>
  <c r="P17" i="1"/>
  <c r="P34" i="1"/>
  <c r="O34" i="1"/>
  <c r="N34" i="1"/>
  <c r="O33" i="1"/>
  <c r="N33" i="1"/>
  <c r="O32" i="1"/>
  <c r="N32" i="1"/>
  <c r="O35" i="1"/>
  <c r="N35" i="1"/>
  <c r="T35" i="1"/>
  <c r="S35" i="1"/>
  <c r="U32" i="1"/>
  <c r="V32" i="1" s="1"/>
  <c r="V34" i="1"/>
  <c r="T34" i="1"/>
  <c r="S34" i="1"/>
  <c r="U33" i="1"/>
  <c r="U35" i="1" l="1"/>
  <c r="V33" i="1"/>
  <c r="V35" i="1" s="1"/>
  <c r="H2" i="5" l="1"/>
  <c r="I43" i="1"/>
  <c r="C44" i="7" l="1"/>
  <c r="C43" i="7"/>
  <c r="C42" i="7"/>
  <c r="M56" i="7"/>
  <c r="L56" i="7"/>
  <c r="K56" i="7"/>
  <c r="J56" i="7"/>
  <c r="I56" i="7"/>
  <c r="H56" i="7"/>
  <c r="G56" i="7"/>
  <c r="M50" i="7"/>
  <c r="M58" i="7" s="1"/>
  <c r="M59" i="7" s="1"/>
  <c r="L50" i="7"/>
  <c r="L58" i="7" s="1"/>
  <c r="K50" i="7"/>
  <c r="J50" i="7"/>
  <c r="I50" i="7"/>
  <c r="H50" i="7"/>
  <c r="G50" i="7"/>
  <c r="M40" i="7"/>
  <c r="L40" i="7"/>
  <c r="K40" i="7"/>
  <c r="J40" i="7"/>
  <c r="I40" i="7"/>
  <c r="H40" i="7"/>
  <c r="G40" i="7"/>
  <c r="M39" i="7"/>
  <c r="L39" i="7"/>
  <c r="K39" i="7"/>
  <c r="J39" i="7"/>
  <c r="I39" i="7"/>
  <c r="H39" i="7"/>
  <c r="G39" i="7"/>
  <c r="L37" i="7"/>
  <c r="G37" i="7"/>
  <c r="C2" i="5"/>
  <c r="C1" i="5"/>
  <c r="C2" i="6"/>
  <c r="C1" i="6"/>
  <c r="C2" i="1"/>
  <c r="C1" i="1"/>
  <c r="R29" i="7"/>
  <c r="M29" i="7"/>
  <c r="M44" i="7" s="1"/>
  <c r="L29" i="7"/>
  <c r="L44" i="7" s="1"/>
  <c r="K29" i="7"/>
  <c r="K44" i="7" s="1"/>
  <c r="J29" i="7"/>
  <c r="I29" i="7"/>
  <c r="I44" i="7" s="1"/>
  <c r="H29" i="7"/>
  <c r="H44" i="7" s="1"/>
  <c r="G29" i="7"/>
  <c r="G44" i="7" s="1"/>
  <c r="O28" i="7"/>
  <c r="O27" i="7"/>
  <c r="M25" i="7"/>
  <c r="L25" i="7"/>
  <c r="K25" i="7"/>
  <c r="J25" i="7"/>
  <c r="I25" i="7"/>
  <c r="H25" i="7"/>
  <c r="O23" i="7"/>
  <c r="R22" i="7"/>
  <c r="M22" i="7"/>
  <c r="L22" i="7"/>
  <c r="K22" i="7"/>
  <c r="J22" i="7"/>
  <c r="I22" i="7"/>
  <c r="H22" i="7"/>
  <c r="G22" i="7"/>
  <c r="M20" i="7"/>
  <c r="L20" i="7"/>
  <c r="K20" i="7"/>
  <c r="J20" i="7"/>
  <c r="I20" i="7"/>
  <c r="H20" i="7"/>
  <c r="L19" i="7"/>
  <c r="O18" i="7"/>
  <c r="M16" i="7"/>
  <c r="L16" i="7"/>
  <c r="K16" i="7"/>
  <c r="J16" i="7"/>
  <c r="I16" i="7"/>
  <c r="H16" i="7"/>
  <c r="O14" i="7"/>
  <c r="R15" i="7"/>
  <c r="M15" i="7"/>
  <c r="L24" i="7"/>
  <c r="K24" i="7"/>
  <c r="G24" i="7"/>
  <c r="L9" i="7"/>
  <c r="G9" i="7"/>
  <c r="O9" i="7" s="1"/>
  <c r="C3" i="7"/>
  <c r="R2" i="7"/>
  <c r="R9" i="7" s="1"/>
  <c r="H2" i="7"/>
  <c r="H9" i="7" s="1"/>
  <c r="V32" i="6"/>
  <c r="U32" i="6"/>
  <c r="V23" i="6"/>
  <c r="U23" i="6"/>
  <c r="R32" i="6"/>
  <c r="Q32" i="6"/>
  <c r="M32" i="6"/>
  <c r="L32" i="6"/>
  <c r="K32" i="6"/>
  <c r="J32" i="6"/>
  <c r="I32" i="6"/>
  <c r="H32" i="6"/>
  <c r="G32" i="6"/>
  <c r="R23" i="6"/>
  <c r="Q23" i="6"/>
  <c r="M23" i="6"/>
  <c r="L23" i="6"/>
  <c r="K23" i="6"/>
  <c r="J23" i="6"/>
  <c r="I23" i="6"/>
  <c r="H23" i="6"/>
  <c r="G23" i="6"/>
  <c r="R26" i="6"/>
  <c r="Q26" i="6"/>
  <c r="M26" i="6"/>
  <c r="L26" i="6"/>
  <c r="K26" i="6"/>
  <c r="J26" i="6"/>
  <c r="I26" i="6"/>
  <c r="H26" i="6"/>
  <c r="Q25" i="6"/>
  <c r="M25" i="6"/>
  <c r="L25" i="6"/>
  <c r="K25" i="6"/>
  <c r="J25" i="6"/>
  <c r="O24" i="6"/>
  <c r="O23" i="6"/>
  <c r="O22" i="6"/>
  <c r="O21" i="6"/>
  <c r="O20" i="6"/>
  <c r="O19" i="6"/>
  <c r="I35" i="6"/>
  <c r="H35" i="6"/>
  <c r="O43" i="6"/>
  <c r="O42" i="6"/>
  <c r="R44" i="6"/>
  <c r="Q44" i="6"/>
  <c r="M44" i="6"/>
  <c r="L44" i="6"/>
  <c r="K44" i="6"/>
  <c r="J44" i="6"/>
  <c r="I44" i="6"/>
  <c r="H44" i="6"/>
  <c r="G44" i="6"/>
  <c r="V44" i="6"/>
  <c r="U44" i="6"/>
  <c r="O44" i="6"/>
  <c r="R40" i="6"/>
  <c r="Q40" i="6"/>
  <c r="M40" i="6"/>
  <c r="L40" i="6"/>
  <c r="K40" i="6"/>
  <c r="J40" i="6"/>
  <c r="I40" i="6"/>
  <c r="H40" i="6"/>
  <c r="O38" i="6"/>
  <c r="V37" i="6"/>
  <c r="U37" i="6"/>
  <c r="R37" i="6"/>
  <c r="Q37" i="6"/>
  <c r="M37" i="6"/>
  <c r="L37" i="6"/>
  <c r="K37" i="6"/>
  <c r="J37" i="6"/>
  <c r="I37" i="6"/>
  <c r="R35" i="6"/>
  <c r="Q35" i="6"/>
  <c r="M35" i="6"/>
  <c r="L35" i="6"/>
  <c r="K35" i="6"/>
  <c r="J35" i="6"/>
  <c r="H37" i="6"/>
  <c r="G37" i="6"/>
  <c r="O31" i="6"/>
  <c r="O30" i="6"/>
  <c r="O29" i="6"/>
  <c r="O28" i="6"/>
  <c r="V16" i="6"/>
  <c r="V45" i="6" s="1"/>
  <c r="U16" i="6"/>
  <c r="U25" i="6" s="1"/>
  <c r="R16" i="6"/>
  <c r="R25" i="6" s="1"/>
  <c r="Q16" i="6"/>
  <c r="M16" i="6"/>
  <c r="L16" i="6"/>
  <c r="L34" i="6" s="1"/>
  <c r="K16" i="6"/>
  <c r="J16" i="6"/>
  <c r="I16" i="6"/>
  <c r="I25" i="6" s="1"/>
  <c r="H16" i="6"/>
  <c r="H39" i="6" s="1"/>
  <c r="G16" i="6"/>
  <c r="G39" i="6" s="1"/>
  <c r="O15" i="6"/>
  <c r="O14" i="6"/>
  <c r="O13" i="6"/>
  <c r="O12" i="6"/>
  <c r="O11" i="6"/>
  <c r="L9" i="6"/>
  <c r="G9" i="6"/>
  <c r="O9" i="6" s="1"/>
  <c r="C3" i="6"/>
  <c r="U2" i="6"/>
  <c r="U9" i="6" s="1"/>
  <c r="R2" i="6"/>
  <c r="Q2" i="6" s="1"/>
  <c r="H2" i="6"/>
  <c r="H9" i="6" s="1"/>
  <c r="O44" i="7" l="1"/>
  <c r="J44" i="7"/>
  <c r="H42" i="7"/>
  <c r="K43" i="7"/>
  <c r="K42" i="7"/>
  <c r="L43" i="7"/>
  <c r="L42" i="7"/>
  <c r="L61" i="7" a="1"/>
  <c r="L61" i="7" s="1"/>
  <c r="M43" i="7"/>
  <c r="M42" i="7"/>
  <c r="I43" i="7"/>
  <c r="G62" i="7"/>
  <c r="G63" i="7"/>
  <c r="L62" i="7"/>
  <c r="L63" i="7"/>
  <c r="G43" i="7"/>
  <c r="O43" i="7" s="1"/>
  <c r="G61" i="7" a="1"/>
  <c r="G61" i="7" s="1"/>
  <c r="J43" i="7"/>
  <c r="K58" i="7"/>
  <c r="K59" i="7" s="1"/>
  <c r="L59" i="7"/>
  <c r="H43" i="7"/>
  <c r="G42" i="7"/>
  <c r="I42" i="7"/>
  <c r="J42" i="7"/>
  <c r="G58" i="7"/>
  <c r="G59" i="7" s="1"/>
  <c r="H58" i="7"/>
  <c r="H59" i="7" s="1"/>
  <c r="I58" i="7"/>
  <c r="I59" i="7" s="1"/>
  <c r="J58" i="7"/>
  <c r="J59" i="7" s="1"/>
  <c r="H37" i="7"/>
  <c r="H63" i="7" s="1"/>
  <c r="K12" i="7"/>
  <c r="O11" i="7"/>
  <c r="M12" i="7"/>
  <c r="O22" i="7"/>
  <c r="M30" i="7"/>
  <c r="M19" i="7"/>
  <c r="R30" i="7"/>
  <c r="G30" i="7"/>
  <c r="R19" i="7"/>
  <c r="H30" i="7"/>
  <c r="J30" i="7"/>
  <c r="H12" i="7"/>
  <c r="K30" i="7"/>
  <c r="I12" i="7"/>
  <c r="M24" i="7"/>
  <c r="L30" i="7"/>
  <c r="R24" i="7"/>
  <c r="G15" i="7"/>
  <c r="L12" i="7"/>
  <c r="O29" i="7"/>
  <c r="I2" i="7"/>
  <c r="I37" i="7" s="1"/>
  <c r="I62" i="7" s="1"/>
  <c r="H15" i="7"/>
  <c r="J15" i="7"/>
  <c r="K15" i="7"/>
  <c r="G19" i="7"/>
  <c r="I15" i="7"/>
  <c r="L15" i="7"/>
  <c r="H19" i="7"/>
  <c r="H24" i="7"/>
  <c r="J19" i="7"/>
  <c r="J24" i="7"/>
  <c r="I30" i="7"/>
  <c r="I19" i="7"/>
  <c r="I24" i="7"/>
  <c r="K19" i="7"/>
  <c r="J12" i="7"/>
  <c r="V25" i="6"/>
  <c r="G25" i="6"/>
  <c r="H25" i="6"/>
  <c r="I45" i="6"/>
  <c r="U45" i="6"/>
  <c r="Q17" i="6"/>
  <c r="V34" i="6"/>
  <c r="O37" i="6"/>
  <c r="R17" i="6"/>
  <c r="I39" i="6"/>
  <c r="I34" i="6"/>
  <c r="J17" i="6"/>
  <c r="H17" i="6"/>
  <c r="J39" i="6"/>
  <c r="I17" i="6"/>
  <c r="G45" i="6"/>
  <c r="M17" i="6"/>
  <c r="J45" i="6"/>
  <c r="J34" i="6"/>
  <c r="V2" i="6"/>
  <c r="V9" i="6" s="1"/>
  <c r="Q9" i="6"/>
  <c r="O33" i="6"/>
  <c r="G34" i="6"/>
  <c r="H34" i="6"/>
  <c r="K39" i="6"/>
  <c r="I2" i="6"/>
  <c r="O16" i="6"/>
  <c r="R9" i="6"/>
  <c r="L39" i="6"/>
  <c r="H45" i="6"/>
  <c r="K34" i="6"/>
  <c r="M39" i="6"/>
  <c r="M34" i="6"/>
  <c r="R39" i="6"/>
  <c r="K45" i="6"/>
  <c r="Q34" i="6"/>
  <c r="U39" i="6"/>
  <c r="L45" i="6"/>
  <c r="K17" i="6"/>
  <c r="R34" i="6"/>
  <c r="V39" i="6"/>
  <c r="M45" i="6"/>
  <c r="L17" i="6"/>
  <c r="U34" i="6"/>
  <c r="Q45" i="6"/>
  <c r="Q39" i="6"/>
  <c r="R45" i="6"/>
  <c r="L64" i="7" l="1"/>
  <c r="G64" i="7"/>
  <c r="H62" i="7"/>
  <c r="I61" i="7" a="1"/>
  <c r="I61" i="7" s="1"/>
  <c r="O42" i="7"/>
  <c r="I63" i="7"/>
  <c r="O59" i="7"/>
  <c r="H61" i="7" a="1"/>
  <c r="H61" i="7" s="1"/>
  <c r="I9" i="7"/>
  <c r="J2" i="7"/>
  <c r="J37" i="7" s="1"/>
  <c r="O32" i="6"/>
  <c r="I9" i="6"/>
  <c r="J2" i="6"/>
  <c r="J61" i="7" l="1" a="1"/>
  <c r="J61" i="7" s="1"/>
  <c r="J63" i="7"/>
  <c r="J62" i="7"/>
  <c r="H64" i="7"/>
  <c r="I64" i="7"/>
  <c r="K2" i="7"/>
  <c r="K37" i="7" s="1"/>
  <c r="J9" i="7"/>
  <c r="J9" i="6"/>
  <c r="K2" i="6"/>
  <c r="J64" i="7" l="1"/>
  <c r="K62" i="7"/>
  <c r="K63" i="7"/>
  <c r="K61" i="7" a="1"/>
  <c r="K61" i="7" s="1"/>
  <c r="K64" i="7" s="1"/>
  <c r="M2" i="7"/>
  <c r="K9" i="7"/>
  <c r="K9" i="6"/>
  <c r="M2" i="6"/>
  <c r="M9" i="6" s="1"/>
  <c r="M9" i="7" l="1"/>
  <c r="M37" i="7"/>
  <c r="M11" i="1"/>
  <c r="AC52" i="5"/>
  <c r="AC46" i="5"/>
  <c r="AC18" i="5"/>
  <c r="AC17" i="5"/>
  <c r="AC19" i="5"/>
  <c r="H13" i="5"/>
  <c r="I34" i="1"/>
  <c r="I33" i="1"/>
  <c r="I32" i="1"/>
  <c r="C34" i="1"/>
  <c r="C33" i="1"/>
  <c r="C32" i="1"/>
  <c r="M62" i="7" l="1"/>
  <c r="O62" i="7" s="1"/>
  <c r="M63" i="7"/>
  <c r="O63" i="7" s="1"/>
  <c r="M61" i="7" a="1"/>
  <c r="M61" i="7" s="1"/>
  <c r="AC39" i="5"/>
  <c r="AC45" i="5"/>
  <c r="H46" i="5"/>
  <c r="H45" i="5"/>
  <c r="C65" i="5"/>
  <c r="C64" i="5"/>
  <c r="C63" i="5"/>
  <c r="F62" i="5"/>
  <c r="C57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AB39" i="5"/>
  <c r="AA39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AG92" i="5"/>
  <c r="AG91" i="5" s="1"/>
  <c r="AF92" i="5"/>
  <c r="AF93" i="5"/>
  <c r="AF94" i="5"/>
  <c r="AF96" i="5"/>
  <c r="AF95" i="5" s="1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AB45" i="5"/>
  <c r="AA45" i="5"/>
  <c r="Z45" i="5"/>
  <c r="Y45" i="5"/>
  <c r="X45" i="5"/>
  <c r="W45" i="5"/>
  <c r="V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F41" i="5"/>
  <c r="F40" i="5"/>
  <c r="F35" i="5"/>
  <c r="M64" i="7" l="1"/>
  <c r="O64" i="7" s="1"/>
  <c r="O61" i="7"/>
  <c r="AC40" i="5"/>
  <c r="V41" i="5"/>
  <c r="AC41" i="5"/>
  <c r="AB41" i="5"/>
  <c r="J41" i="5"/>
  <c r="K41" i="5"/>
  <c r="L41" i="5"/>
  <c r="M41" i="5"/>
  <c r="Y41" i="5"/>
  <c r="N41" i="5"/>
  <c r="T41" i="5"/>
  <c r="U41" i="5"/>
  <c r="W41" i="5"/>
  <c r="R41" i="5"/>
  <c r="S41" i="5"/>
  <c r="X41" i="5"/>
  <c r="Z41" i="5"/>
  <c r="I41" i="5"/>
  <c r="AA41" i="5"/>
  <c r="O41" i="5"/>
  <c r="P41" i="5"/>
  <c r="Q41" i="5"/>
  <c r="H41" i="5"/>
  <c r="T40" i="5"/>
  <c r="H40" i="5"/>
  <c r="J40" i="5"/>
  <c r="L40" i="5"/>
  <c r="AB40" i="5"/>
  <c r="I40" i="5"/>
  <c r="Y40" i="5"/>
  <c r="Z40" i="5"/>
  <c r="M40" i="5"/>
  <c r="AA40" i="5"/>
  <c r="N40" i="5"/>
  <c r="O40" i="5"/>
  <c r="W40" i="5"/>
  <c r="K40" i="5"/>
  <c r="P40" i="5"/>
  <c r="P42" i="5" s="1"/>
  <c r="Q40" i="5"/>
  <c r="V40" i="5"/>
  <c r="R40" i="5"/>
  <c r="U40" i="5"/>
  <c r="X40" i="5"/>
  <c r="S40" i="5"/>
  <c r="H36" i="5"/>
  <c r="I7" i="5"/>
  <c r="H7" i="5"/>
  <c r="AC42" i="5" l="1"/>
  <c r="V42" i="5"/>
  <c r="T42" i="5"/>
  <c r="I42" i="5"/>
  <c r="U42" i="5"/>
  <c r="M42" i="5"/>
  <c r="H61" i="5"/>
  <c r="Q42" i="5"/>
  <c r="AB42" i="5"/>
  <c r="L42" i="5"/>
  <c r="O42" i="5"/>
  <c r="J42" i="5"/>
  <c r="S42" i="5"/>
  <c r="K42" i="5"/>
  <c r="AA42" i="5"/>
  <c r="Y42" i="5"/>
  <c r="Z42" i="5"/>
  <c r="N42" i="5"/>
  <c r="X42" i="5"/>
  <c r="R42" i="5"/>
  <c r="W42" i="5"/>
  <c r="Q35" i="5"/>
  <c r="Q65" i="5" s="1"/>
  <c r="H42" i="5"/>
  <c r="I64" i="5" s="1"/>
  <c r="R35" i="5"/>
  <c r="R65" i="5" s="1"/>
  <c r="Y35" i="5"/>
  <c r="Y65" i="5" s="1"/>
  <c r="S35" i="5"/>
  <c r="S65" i="5" s="1"/>
  <c r="AA35" i="5"/>
  <c r="AA65" i="5" s="1"/>
  <c r="P35" i="5"/>
  <c r="P65" i="5" s="1"/>
  <c r="M35" i="5"/>
  <c r="M65" i="5" s="1"/>
  <c r="O35" i="5"/>
  <c r="O65" i="5" s="1"/>
  <c r="I34" i="5"/>
  <c r="I36" i="5" s="1"/>
  <c r="Z35" i="5"/>
  <c r="Z65" i="5" s="1"/>
  <c r="X35" i="5"/>
  <c r="X65" i="5" s="1"/>
  <c r="AB35" i="5"/>
  <c r="AB65" i="5" s="1"/>
  <c r="J35" i="5"/>
  <c r="J65" i="5" s="1"/>
  <c r="N35" i="5"/>
  <c r="N65" i="5" s="1"/>
  <c r="V35" i="5"/>
  <c r="V65" i="5" s="1"/>
  <c r="L35" i="5"/>
  <c r="L65" i="5" s="1"/>
  <c r="U35" i="5"/>
  <c r="U65" i="5" s="1"/>
  <c r="K35" i="5"/>
  <c r="K65" i="5" s="1"/>
  <c r="W35" i="5"/>
  <c r="W65" i="5" s="1"/>
  <c r="T35" i="5"/>
  <c r="T65" i="5" s="1"/>
  <c r="H62" i="5" l="1"/>
  <c r="J34" i="5"/>
  <c r="J36" i="5" s="1"/>
  <c r="K34" i="5" l="1"/>
  <c r="K36" i="5" s="1"/>
  <c r="L34" i="5" l="1"/>
  <c r="L36" i="5" s="1"/>
  <c r="H22" i="5"/>
  <c r="H23" i="5" s="1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AB12" i="5"/>
  <c r="AB25" i="5" s="1"/>
  <c r="AA12" i="5"/>
  <c r="AA25" i="5" s="1"/>
  <c r="Z12" i="5"/>
  <c r="Z25" i="5" s="1"/>
  <c r="Y12" i="5"/>
  <c r="Y25" i="5" s="1"/>
  <c r="X12" i="5"/>
  <c r="X25" i="5" s="1"/>
  <c r="W12" i="5"/>
  <c r="W25" i="5" s="1"/>
  <c r="V12" i="5"/>
  <c r="V25" i="5" s="1"/>
  <c r="U12" i="5"/>
  <c r="U25" i="5" s="1"/>
  <c r="T12" i="5"/>
  <c r="T25" i="5" s="1"/>
  <c r="S12" i="5"/>
  <c r="S25" i="5" s="1"/>
  <c r="R12" i="5"/>
  <c r="R25" i="5" s="1"/>
  <c r="Q12" i="5"/>
  <c r="Q25" i="5" s="1"/>
  <c r="P12" i="5"/>
  <c r="P25" i="5" s="1"/>
  <c r="O12" i="5"/>
  <c r="O25" i="5" s="1"/>
  <c r="N12" i="5"/>
  <c r="N25" i="5" s="1"/>
  <c r="M12" i="5"/>
  <c r="M25" i="5" s="1"/>
  <c r="L12" i="5"/>
  <c r="L25" i="5" s="1"/>
  <c r="K12" i="5"/>
  <c r="K25" i="5" s="1"/>
  <c r="J12" i="5"/>
  <c r="J25" i="5" s="1"/>
  <c r="I11" i="5"/>
  <c r="I13" i="5" s="1"/>
  <c r="J11" i="5" s="1"/>
  <c r="J2" i="5"/>
  <c r="K2" i="5" s="1"/>
  <c r="C3" i="5"/>
  <c r="R19" i="5" l="1"/>
  <c r="J64" i="5"/>
  <c r="M34" i="5"/>
  <c r="M36" i="5" s="1"/>
  <c r="J19" i="5"/>
  <c r="X19" i="5"/>
  <c r="V19" i="5"/>
  <c r="S19" i="5"/>
  <c r="I19" i="5"/>
  <c r="J24" i="5" s="1"/>
  <c r="U19" i="5"/>
  <c r="W19" i="5"/>
  <c r="H19" i="5"/>
  <c r="I24" i="5" s="1"/>
  <c r="I26" i="5" s="1"/>
  <c r="L19" i="5"/>
  <c r="Q19" i="5"/>
  <c r="J7" i="5"/>
  <c r="M19" i="5"/>
  <c r="Y19" i="5"/>
  <c r="Z19" i="5"/>
  <c r="T19" i="5"/>
  <c r="K19" i="5"/>
  <c r="AA19" i="5"/>
  <c r="J13" i="5"/>
  <c r="K11" i="5" s="1"/>
  <c r="K13" i="5" s="1"/>
  <c r="L11" i="5" s="1"/>
  <c r="L13" i="5" s="1"/>
  <c r="M11" i="5" s="1"/>
  <c r="M13" i="5" s="1"/>
  <c r="N11" i="5" s="1"/>
  <c r="N13" i="5" s="1"/>
  <c r="O19" i="5"/>
  <c r="AB19" i="5"/>
  <c r="P19" i="5"/>
  <c r="N19" i="5"/>
  <c r="H26" i="5"/>
  <c r="N34" i="5" l="1"/>
  <c r="N36" i="5" s="1"/>
  <c r="K64" i="5"/>
  <c r="L2" i="5"/>
  <c r="K7" i="5"/>
  <c r="K24" i="5"/>
  <c r="K26" i="5" s="1"/>
  <c r="J26" i="5"/>
  <c r="O11" i="5"/>
  <c r="O13" i="5" s="1"/>
  <c r="O34" i="5" l="1"/>
  <c r="O36" i="5" s="1"/>
  <c r="L64" i="5"/>
  <c r="L24" i="5"/>
  <c r="L26" i="5" s="1"/>
  <c r="M2" i="5"/>
  <c r="L7" i="5"/>
  <c r="P11" i="5"/>
  <c r="P13" i="5" s="1"/>
  <c r="M64" i="5" l="1"/>
  <c r="P34" i="5"/>
  <c r="P36" i="5" s="1"/>
  <c r="N2" i="5"/>
  <c r="M7" i="5"/>
  <c r="M24" i="5"/>
  <c r="M26" i="5" s="1"/>
  <c r="Q11" i="5"/>
  <c r="Q13" i="5" s="1"/>
  <c r="Q34" i="5" l="1"/>
  <c r="Q36" i="5" s="1"/>
  <c r="N64" i="5"/>
  <c r="N24" i="5"/>
  <c r="N26" i="5" s="1"/>
  <c r="O2" i="5"/>
  <c r="N7" i="5"/>
  <c r="R11" i="5"/>
  <c r="R13" i="5" s="1"/>
  <c r="O64" i="5" l="1"/>
  <c r="R34" i="5"/>
  <c r="R36" i="5" s="1"/>
  <c r="O24" i="5"/>
  <c r="O26" i="5" s="1"/>
  <c r="P2" i="5"/>
  <c r="O7" i="5"/>
  <c r="S11" i="5"/>
  <c r="S13" i="5" s="1"/>
  <c r="S34" i="5" l="1"/>
  <c r="S36" i="5" s="1"/>
  <c r="P64" i="5"/>
  <c r="P24" i="5"/>
  <c r="P26" i="5" s="1"/>
  <c r="Q2" i="5"/>
  <c r="P7" i="5"/>
  <c r="T11" i="5"/>
  <c r="T13" i="5" s="1"/>
  <c r="T34" i="5" l="1"/>
  <c r="T36" i="5" s="1"/>
  <c r="Q64" i="5"/>
  <c r="Q24" i="5"/>
  <c r="Q26" i="5" s="1"/>
  <c r="R2" i="5"/>
  <c r="R24" i="5" s="1"/>
  <c r="R26" i="5" s="1"/>
  <c r="Q7" i="5"/>
  <c r="U11" i="5"/>
  <c r="U13" i="5" s="1"/>
  <c r="U34" i="5" l="1"/>
  <c r="U36" i="5" s="1"/>
  <c r="R64" i="5"/>
  <c r="S2" i="5"/>
  <c r="R7" i="5"/>
  <c r="V11" i="5"/>
  <c r="V13" i="5" s="1"/>
  <c r="V34" i="5" l="1"/>
  <c r="V36" i="5" s="1"/>
  <c r="S64" i="5"/>
  <c r="S24" i="5"/>
  <c r="S26" i="5" s="1"/>
  <c r="T2" i="5"/>
  <c r="T24" i="5" s="1"/>
  <c r="T26" i="5" s="1"/>
  <c r="S7" i="5"/>
  <c r="W11" i="5"/>
  <c r="W13" i="5" s="1"/>
  <c r="W34" i="5" l="1"/>
  <c r="W36" i="5" s="1"/>
  <c r="T64" i="5"/>
  <c r="U2" i="5"/>
  <c r="U24" i="5" s="1"/>
  <c r="U26" i="5" s="1"/>
  <c r="T7" i="5"/>
  <c r="X11" i="5"/>
  <c r="X13" i="5" s="1"/>
  <c r="X34" i="5" l="1"/>
  <c r="X36" i="5" s="1"/>
  <c r="U64" i="5"/>
  <c r="V2" i="5"/>
  <c r="U7" i="5"/>
  <c r="V24" i="5"/>
  <c r="V26" i="5" s="1"/>
  <c r="Y11" i="5"/>
  <c r="Y13" i="5" s="1"/>
  <c r="Y34" i="5" l="1"/>
  <c r="Y36" i="5" s="1"/>
  <c r="V64" i="5"/>
  <c r="W2" i="5"/>
  <c r="W24" i="5" s="1"/>
  <c r="W26" i="5" s="1"/>
  <c r="V7" i="5"/>
  <c r="Z11" i="5"/>
  <c r="Z13" i="5" s="1"/>
  <c r="Z34" i="5" l="1"/>
  <c r="Z36" i="5" s="1"/>
  <c r="W64" i="5"/>
  <c r="X2" i="5"/>
  <c r="X24" i="5" s="1"/>
  <c r="X26" i="5" s="1"/>
  <c r="W7" i="5"/>
  <c r="AA11" i="5"/>
  <c r="AA13" i="5" s="1"/>
  <c r="AA34" i="5" l="1"/>
  <c r="AA36" i="5" s="1"/>
  <c r="X64" i="5"/>
  <c r="Y2" i="5"/>
  <c r="X7" i="5"/>
  <c r="AB11" i="5"/>
  <c r="AB13" i="5" s="1"/>
  <c r="AC11" i="5" l="1"/>
  <c r="AB34" i="5"/>
  <c r="AB36" i="5" s="1"/>
  <c r="Y64" i="5"/>
  <c r="Y24" i="5"/>
  <c r="Y26" i="5" s="1"/>
  <c r="Z2" i="5"/>
  <c r="Y7" i="5"/>
  <c r="AC12" i="5" l="1"/>
  <c r="AC25" i="5" s="1"/>
  <c r="AC34" i="5"/>
  <c r="Z24" i="5"/>
  <c r="Z26" i="5" s="1"/>
  <c r="Z64" i="5"/>
  <c r="AA2" i="5"/>
  <c r="AA64" i="5" s="1"/>
  <c r="Z7" i="5"/>
  <c r="AC13" i="5" l="1"/>
  <c r="AC35" i="5"/>
  <c r="AC65" i="5" s="1"/>
  <c r="AA24" i="5"/>
  <c r="AA26" i="5" s="1"/>
  <c r="AB2" i="5"/>
  <c r="AA7" i="5"/>
  <c r="AC24" i="5" l="1"/>
  <c r="AC26" i="5" s="1"/>
  <c r="AC64" i="5"/>
  <c r="AC36" i="5"/>
  <c r="AB64" i="5"/>
  <c r="AB24" i="5"/>
  <c r="AB26" i="5" s="1"/>
  <c r="AB7" i="5"/>
  <c r="F29" i="5" l="1"/>
  <c r="AC7" i="5"/>
  <c r="AF91" i="5" l="1"/>
  <c r="H47" i="5" l="1"/>
  <c r="AC47" i="5"/>
  <c r="AC48" i="5" s="1"/>
  <c r="I47" i="5"/>
  <c r="J47" i="5"/>
  <c r="J48" i="5" s="1"/>
  <c r="K47" i="5"/>
  <c r="K48" i="5" s="1"/>
  <c r="L47" i="5"/>
  <c r="L48" i="5" s="1"/>
  <c r="M47" i="5"/>
  <c r="M48" i="5" s="1"/>
  <c r="N47" i="5"/>
  <c r="N48" i="5" s="1"/>
  <c r="O47" i="5"/>
  <c r="O48" i="5" s="1"/>
  <c r="P47" i="5"/>
  <c r="P48" i="5" s="1"/>
  <c r="Q47" i="5"/>
  <c r="Q48" i="5" s="1"/>
  <c r="R47" i="5"/>
  <c r="R48" i="5" s="1"/>
  <c r="S47" i="5"/>
  <c r="S48" i="5" s="1"/>
  <c r="T47" i="5"/>
  <c r="T48" i="5" s="1"/>
  <c r="U47" i="5"/>
  <c r="U48" i="5" s="1"/>
  <c r="V47" i="5"/>
  <c r="V48" i="5" s="1"/>
  <c r="W47" i="5"/>
  <c r="W48" i="5" s="1"/>
  <c r="X47" i="5"/>
  <c r="X48" i="5" s="1"/>
  <c r="Y47" i="5"/>
  <c r="Y48" i="5" s="1"/>
  <c r="Z47" i="5"/>
  <c r="Z48" i="5" s="1"/>
  <c r="AA47" i="5"/>
  <c r="AA48" i="5" s="1"/>
  <c r="AB47" i="5"/>
  <c r="AB48" i="5" s="1"/>
  <c r="I48" i="5" l="1"/>
  <c r="F28" i="5" l="1"/>
  <c r="P11" i="1"/>
  <c r="J32" i="1"/>
  <c r="J34" i="1"/>
  <c r="J33" i="1"/>
  <c r="I41" i="1"/>
  <c r="I40" i="1" s="1"/>
  <c r="I35" i="1" l="1"/>
  <c r="K35" i="1" s="1"/>
  <c r="P19" i="1"/>
  <c r="J40" i="1"/>
  <c r="K32" i="1"/>
  <c r="K33" i="1"/>
  <c r="K34" i="1"/>
  <c r="I36" i="1"/>
  <c r="J35" i="1" l="1"/>
  <c r="J36" i="1"/>
  <c r="F51" i="5" s="1"/>
  <c r="AB51" i="5" s="1"/>
  <c r="AB53" i="5" s="1"/>
  <c r="AB57" i="5" s="1"/>
  <c r="P15" i="1"/>
  <c r="P21" i="1" s="1"/>
  <c r="X51" i="5" l="1"/>
  <c r="X53" i="5" s="1"/>
  <c r="X57" i="5" s="1"/>
  <c r="Q51" i="5"/>
  <c r="Q53" i="5" s="1"/>
  <c r="Q57" i="5" s="1"/>
  <c r="V51" i="5"/>
  <c r="V53" i="5" s="1"/>
  <c r="V57" i="5" s="1"/>
  <c r="R51" i="5"/>
  <c r="R53" i="5" s="1"/>
  <c r="R57" i="5" s="1"/>
  <c r="AC51" i="5"/>
  <c r="AC53" i="5" s="1"/>
  <c r="AC57" i="5" s="1"/>
  <c r="P51" i="5"/>
  <c r="P53" i="5" s="1"/>
  <c r="P57" i="5" s="1"/>
  <c r="S51" i="5"/>
  <c r="S53" i="5" s="1"/>
  <c r="S57" i="5" s="1"/>
  <c r="K51" i="5"/>
  <c r="K53" i="5" s="1"/>
  <c r="K57" i="5" s="1"/>
  <c r="I51" i="5"/>
  <c r="I53" i="5" s="1"/>
  <c r="I57" i="5" s="1"/>
  <c r="W51" i="5"/>
  <c r="W53" i="5" s="1"/>
  <c r="W57" i="5" s="1"/>
  <c r="T51" i="5"/>
  <c r="T53" i="5" s="1"/>
  <c r="T57" i="5" s="1"/>
  <c r="M51" i="5"/>
  <c r="M53" i="5" s="1"/>
  <c r="M57" i="5" s="1"/>
  <c r="O51" i="5"/>
  <c r="O53" i="5" s="1"/>
  <c r="O57" i="5" s="1"/>
  <c r="L51" i="5"/>
  <c r="L53" i="5" s="1"/>
  <c r="L57" i="5" s="1"/>
  <c r="Y51" i="5"/>
  <c r="Y53" i="5" s="1"/>
  <c r="Y57" i="5" s="1"/>
  <c r="U51" i="5"/>
  <c r="U53" i="5" s="1"/>
  <c r="U57" i="5" s="1"/>
  <c r="N51" i="5"/>
  <c r="N53" i="5" s="1"/>
  <c r="N57" i="5" s="1"/>
  <c r="AA51" i="5"/>
  <c r="AA53" i="5" s="1"/>
  <c r="AA57" i="5" s="1"/>
  <c r="J51" i="5"/>
  <c r="J53" i="5" s="1"/>
  <c r="J57" i="5" s="1"/>
  <c r="Z51" i="5"/>
  <c r="Z53" i="5" s="1"/>
  <c r="Z57" i="5" s="1"/>
  <c r="H51" i="5"/>
  <c r="H53" i="5" s="1"/>
  <c r="C3" i="1"/>
  <c r="H57" i="5" l="1"/>
  <c r="F56" i="5"/>
  <c r="AC56" i="5" l="1"/>
  <c r="AC58" i="5" s="1"/>
  <c r="Z56" i="5"/>
  <c r="Z58" i="5" s="1"/>
  <c r="Z66" i="5" s="1"/>
  <c r="Z68" i="5" s="1"/>
  <c r="Q56" i="5"/>
  <c r="Q58" i="5" s="1"/>
  <c r="Q66" i="5" s="1"/>
  <c r="Q68" i="5" s="1"/>
  <c r="U56" i="5"/>
  <c r="U58" i="5" s="1"/>
  <c r="U66" i="5" s="1"/>
  <c r="U68" i="5" s="1"/>
  <c r="V56" i="5"/>
  <c r="V58" i="5" s="1"/>
  <c r="V66" i="5" s="1"/>
  <c r="V68" i="5" s="1"/>
  <c r="X56" i="5"/>
  <c r="X58" i="5" s="1"/>
  <c r="X66" i="5" s="1"/>
  <c r="X68" i="5" s="1"/>
  <c r="L56" i="5"/>
  <c r="L58" i="5" s="1"/>
  <c r="L66" i="5" s="1"/>
  <c r="L68" i="5" s="1"/>
  <c r="M56" i="5"/>
  <c r="M58" i="5" s="1"/>
  <c r="M66" i="5" s="1"/>
  <c r="M68" i="5" s="1"/>
  <c r="AA56" i="5"/>
  <c r="AA58" i="5" s="1"/>
  <c r="AA66" i="5" s="1"/>
  <c r="AA68" i="5" s="1"/>
  <c r="S56" i="5"/>
  <c r="S58" i="5" s="1"/>
  <c r="S66" i="5" s="1"/>
  <c r="S68" i="5" s="1"/>
  <c r="T56" i="5"/>
  <c r="T58" i="5" s="1"/>
  <c r="T66" i="5" s="1"/>
  <c r="T68" i="5" s="1"/>
  <c r="H56" i="5"/>
  <c r="H58" i="5" s="1"/>
  <c r="H63" i="5" s="1"/>
  <c r="H68" i="5" s="1"/>
  <c r="J56" i="5"/>
  <c r="J58" i="5" s="1"/>
  <c r="J66" i="5" s="1"/>
  <c r="J68" i="5" s="1"/>
  <c r="Y56" i="5"/>
  <c r="Y58" i="5" s="1"/>
  <c r="Y66" i="5" s="1"/>
  <c r="Y68" i="5" s="1"/>
  <c r="R56" i="5"/>
  <c r="R58" i="5" s="1"/>
  <c r="R66" i="5" s="1"/>
  <c r="R68" i="5" s="1"/>
  <c r="AB56" i="5"/>
  <c r="AB58" i="5" s="1"/>
  <c r="AB66" i="5" s="1"/>
  <c r="AB68" i="5" s="1"/>
  <c r="O56" i="5"/>
  <c r="O58" i="5" s="1"/>
  <c r="O66" i="5" s="1"/>
  <c r="O68" i="5" s="1"/>
  <c r="P56" i="5"/>
  <c r="P58" i="5" s="1"/>
  <c r="P66" i="5" s="1"/>
  <c r="P68" i="5" s="1"/>
  <c r="I56" i="5"/>
  <c r="I58" i="5" s="1"/>
  <c r="I66" i="5" s="1"/>
  <c r="I68" i="5" s="1"/>
  <c r="K56" i="5"/>
  <c r="K58" i="5" s="1"/>
  <c r="K66" i="5" s="1"/>
  <c r="K68" i="5" s="1"/>
  <c r="N56" i="5"/>
  <c r="N58" i="5" s="1"/>
  <c r="N66" i="5" s="1"/>
  <c r="N68" i="5" s="1"/>
  <c r="W56" i="5"/>
  <c r="W58" i="5" s="1"/>
  <c r="W66" i="5" s="1"/>
  <c r="W68" i="5" s="1"/>
  <c r="AC66" i="5" l="1"/>
  <c r="AC67" i="5"/>
  <c r="AC68" i="5" l="1"/>
  <c r="F70" i="5" l="1"/>
  <c r="F71" i="5"/>
  <c r="K21" i="1"/>
  <c r="F21" i="1" s="1"/>
  <c r="F14" i="1" s="1"/>
  <c r="I38" i="1" s="1"/>
  <c r="J38" i="1" s="1"/>
  <c r="K38" i="1" l="1"/>
  <c r="I39" i="1"/>
  <c r="K39" i="1" l="1"/>
  <c r="J39" i="1"/>
  <c r="K4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tc={17C75FB7-F1B5-4D5B-8B1B-D13C92662EAE}</author>
    <author>tc={B39FBA59-4114-4DA8-BDD2-353C1D32D8BE}</author>
  </authors>
  <commentList>
    <comment ref="D16" authorId="0" shapeId="0" xr:uid="{17C75FB7-F1B5-4D5B-8B1B-D13C92662EAE}">
      <text>
        <t>[Threaded comment]
Your version of Excel allows you to read this threaded comment; however, any edits to it will get removed if the file is opened in a newer version of Excel. Learn more: https://go.microsoft.com/fwlink/?linkid=870924
Comment:
    As of 8/30/24 Legal Closing Date</t>
      </text>
    </comment>
    <comment ref="F56" authorId="1" shapeId="0" xr:uid="{B39FBA59-4114-4DA8-BDD2-353C1D32D8BE}">
      <text>
        <t>[Threaded comment]
Your version of Excel allows you to read this threaded comment; however, any edits to it will get removed if the file is opened in a newer version of Excel. Learn more: https://go.microsoft.com/fwlink/?linkid=870924
Comment:
    Amount required to get to 1.10 : 1.00 fund leverage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<sst xmlns="http://schemas.openxmlformats.org/spreadsheetml/2006/main" count="209" uniqueCount="125">
  <si>
    <t>x</t>
  </si>
  <si>
    <t>Sources &amp; Uses</t>
  </si>
  <si>
    <t>USD in 000's, except where noted</t>
  </si>
  <si>
    <t>Sources</t>
  </si>
  <si>
    <t>Uses</t>
  </si>
  <si>
    <t>Opening FCCR</t>
  </si>
  <si>
    <t>[Use]</t>
  </si>
  <si>
    <t>1L Term Loan B</t>
  </si>
  <si>
    <t>( – ) Adjustments</t>
  </si>
  <si>
    <t>( – ) Cash Taxes</t>
  </si>
  <si>
    <t>Owner Equity</t>
  </si>
  <si>
    <t>( – ) Capital Expenditures</t>
  </si>
  <si>
    <t>Financing Fees</t>
  </si>
  <si>
    <t>FCCR Numerator</t>
  </si>
  <si>
    <t>Transaction Expenses</t>
  </si>
  <si>
    <t>SOFR</t>
  </si>
  <si>
    <t>Cash Interest Expense</t>
  </si>
  <si>
    <t>( + ) Mandatory Amortization</t>
  </si>
  <si>
    <t>FCCR Denominator</t>
  </si>
  <si>
    <t>Total Sources</t>
  </si>
  <si>
    <t>Total Uses</t>
  </si>
  <si>
    <t>FCCR</t>
  </si>
  <si>
    <t>Pro Forma Capitalization</t>
  </si>
  <si>
    <t>FYE December 31st</t>
  </si>
  <si>
    <t>$</t>
  </si>
  <si>
    <t>Multiple</t>
  </si>
  <si>
    <t>% Cap</t>
  </si>
  <si>
    <t>Maturity</t>
  </si>
  <si>
    <t>Pricing</t>
  </si>
  <si>
    <t>OID</t>
  </si>
  <si>
    <t>Call Pro</t>
  </si>
  <si>
    <t>Cash &amp; Equivalents</t>
  </si>
  <si>
    <t>5 Years</t>
  </si>
  <si>
    <t>n/a</t>
  </si>
  <si>
    <t>[102 / 101]</t>
  </si>
  <si>
    <t>Total Debt</t>
  </si>
  <si>
    <t>Total Net Debt</t>
  </si>
  <si>
    <t>Common Equity</t>
  </si>
  <si>
    <t>Implied Equity</t>
  </si>
  <si>
    <t>Total Capitalization</t>
  </si>
  <si>
    <t>TEV</t>
  </si>
  <si>
    <t>[Company Name]</t>
  </si>
  <si>
    <t>Posting Memo Backup</t>
  </si>
  <si>
    <t>Historical Financial Summary</t>
  </si>
  <si>
    <t>Trailing Twelve Month Period Ending,</t>
  </si>
  <si>
    <t>CAGR</t>
  </si>
  <si>
    <t>Revenue</t>
  </si>
  <si>
    <t>% y/y</t>
  </si>
  <si>
    <t>Gross Profit</t>
  </si>
  <si>
    <t>% margin</t>
  </si>
  <si>
    <t>EBITDA (Reported)</t>
  </si>
  <si>
    <t>( + ) Adjustments</t>
  </si>
  <si>
    <t>CA EBITDA</t>
  </si>
  <si>
    <t>Maintenance</t>
  </si>
  <si>
    <t>Growth</t>
  </si>
  <si>
    <t>Capital Expenditures</t>
  </si>
  <si>
    <t>% revenue</t>
  </si>
  <si>
    <t>Supporting Posting Memo MD&amp;A Calcs:</t>
  </si>
  <si>
    <t>Days in Period</t>
  </si>
  <si>
    <t>Average</t>
  </si>
  <si>
    <t>TTM Revenue</t>
  </si>
  <si>
    <t>TTM COGS</t>
  </si>
  <si>
    <t>Accounts Receivable</t>
  </si>
  <si>
    <t>Costs in Excess of Billings ("CIE")</t>
  </si>
  <si>
    <t>Inventory</t>
  </si>
  <si>
    <t>Prepaid &amp; Other</t>
  </si>
  <si>
    <t>Current Assets</t>
  </si>
  <si>
    <t>Accounts Payable</t>
  </si>
  <si>
    <t>Billings in Excess of Costs ("BIE")</t>
  </si>
  <si>
    <t>Deferred Revenue</t>
  </si>
  <si>
    <t>Accrued &amp; Other</t>
  </si>
  <si>
    <t>Current Liabilities</t>
  </si>
  <si>
    <t>NWC</t>
  </si>
  <si>
    <t>DSO</t>
  </si>
  <si>
    <t>DIH</t>
  </si>
  <si>
    <t>DPO</t>
  </si>
  <si>
    <t>CCC</t>
  </si>
  <si>
    <t>YTD Period Ending,</t>
  </si>
  <si>
    <t>[Segment]</t>
  </si>
  <si>
    <t>Other</t>
  </si>
  <si>
    <t>[COGS Expense]</t>
  </si>
  <si>
    <t>Other COGS</t>
  </si>
  <si>
    <t>[SG&amp;A Expense]</t>
  </si>
  <si>
    <t>Other Expense (Income)</t>
  </si>
  <si>
    <t>Posing Memo Returns Analysis</t>
  </si>
  <si>
    <t>USD in 000s, except where noted</t>
  </si>
  <si>
    <t>Overland Unlevered Returns</t>
  </si>
  <si>
    <t>Overland TLB Face Value (BoP)</t>
  </si>
  <si>
    <t>( – ) Amortization</t>
  </si>
  <si>
    <t>Overland TLB Face Value (EoP)</t>
  </si>
  <si>
    <t>3M USD SOFR Curve</t>
  </si>
  <si>
    <t>SOFR Floor</t>
  </si>
  <si>
    <t>Spread</t>
  </si>
  <si>
    <t>All-In Borrower Rate</t>
  </si>
  <si>
    <t>Overland TLB Face Value</t>
  </si>
  <si>
    <t>( + ) OID</t>
  </si>
  <si>
    <t>( + ) Borrower Interest Payments</t>
  </si>
  <si>
    <t>( + ) Borrower Scheduled Principal Repayments</t>
  </si>
  <si>
    <t>Total Unlevered Cash Flows</t>
  </si>
  <si>
    <t>Gross Unlevered MOIC</t>
  </si>
  <si>
    <t>Gross Unlevered IRR</t>
  </si>
  <si>
    <t>Overland Levered Returns</t>
  </si>
  <si>
    <t>All-In Overland Backleverage Rate</t>
  </si>
  <si>
    <t>Borrower Opening SNL</t>
  </si>
  <si>
    <t>Facility Type</t>
  </si>
  <si>
    <t>Uni</t>
  </si>
  <si>
    <t>Overland Advance Rate</t>
  </si>
  <si>
    <t>Overland MS Funding</t>
  </si>
  <si>
    <t>Overland Closing Backleverage</t>
  </si>
  <si>
    <t>( – ) Overland Backleverage Interest Payments</t>
  </si>
  <si>
    <t>( – ) Overland Backleverage Principal Repayment</t>
  </si>
  <si>
    <t>Total Levered Cash Flows</t>
  </si>
  <si>
    <t>Gross Levered MOIC</t>
  </si>
  <si>
    <t>Gross Levered IRR</t>
  </si>
  <si>
    <t>MS Advance Rates</t>
  </si>
  <si>
    <t>SNL</t>
  </si>
  <si>
    <t>AR</t>
  </si>
  <si>
    <t>Type</t>
  </si>
  <si>
    <t>Max AR</t>
  </si>
  <si>
    <t>1L</t>
  </si>
  <si>
    <t>ARR</t>
  </si>
  <si>
    <t>FLLO</t>
  </si>
  <si>
    <t>2L</t>
  </si>
  <si>
    <t>MS Spread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</si>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</sst>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_);\(&quot;$&quot;#,##0\);&quot;$--&quot;_);@_)"/>
    <numFmt numFmtId="165" formatCode="#,##0_);\(#,##0\);&quot;--&quot;_);@_)"/>
    <numFmt numFmtId="166" formatCode="#,##0.0%_);\(#,##0.0%\);&quot;--%&quot;_);@_)"/>
    <numFmt numFmtId="167" formatCode="#,##0.00\x_);\(#,##0.00\x\);&quot;--x&quot;_);@_)"/>
    <numFmt numFmtId="168" formatCode="m/d/yy"/>
    <numFmt numFmtId="169" formatCode="#,##0.00_);\(#,##0.00\);&quot;--&quot;_);@_)"/>
    <numFmt numFmtId="170" formatCode="#,##0.000%_);\(#,##0.000%\);&quot;--%&quot;_);@_)"/>
    <numFmt numFmtId="171" formatCode="#,##0.00%_);\(#,##0.00%\);&quot;--%&quot;_);@_)"/>
    <numFmt numFmtId="172" formatCode="&quot;≤ &quot;#,##0.00\x_);\(#,##0.00\x\);&quot;--x&quot;_);@_)"/>
    <numFmt numFmtId="173" formatCode="&quot;&gt; &quot;#,##0.00\x_);\(#,##0.00\x\);&quot;--x&quot;_);@_)"/>
    <numFmt numFmtId="174" formatCode="#,##0.0_);\(#,##0.0\);&quot;--&quot;_);@_)"/>
  </numFmts>
  <fonts count="14">
    <font>
      <sz val="10"/>
      <color theme="1"/>
      <name val="Calibri"/>
      <family val="2"/>
    </font>
    <font>
      <b/>
      <sz val="10"/>
      <color theme="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i/>
      <sz val="10"/>
      <name val="Calibri"/>
      <family val="2"/>
    </font>
    <font>
      <i/>
      <sz val="10"/>
      <name val="Calibri"/>
      <family val="2"/>
    </font>
    <font>
      <b/>
      <u val="singleAccounting"/>
      <sz val="10"/>
      <name val="Calibri"/>
      <family val="2"/>
    </font>
    <font>
      <b/>
      <u val="singleAccounting"/>
      <sz val="10"/>
      <color theme="0"/>
      <name val="Calibri"/>
      <family val="2"/>
    </font>
    <font>
      <sz val="10"/>
      <color rgb="FF0000FF"/>
      <name val="Calibri"/>
      <family val="2"/>
    </font>
    <font>
      <sz val="10"/>
      <color rgb="FFFF0000"/>
      <name val="Calibri"/>
      <family val="2"/>
    </font>
    <font>
      <sz val="10"/>
      <color rgb="FF00B050"/>
      <name val="Calibri"/>
      <family val="2"/>
    </font>
    <font>
      <b/>
      <sz val="10"/>
      <color rgb="FF00B050"/>
      <name val="Calibri"/>
      <family val="2"/>
    </font>
    <font>
      <sz val="10"/>
      <color rgb="FF000000"/>
      <name val="Calibri"/>
      <family val="2"/>
    </font>
    <font>
      <b/>
      <sz val="10"/>
      <color rgb="FF0000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ouble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2" fillId="2" borderId="3" xfId="0" applyFont="1" applyFill="1" applyBorder="1"/>
    <xf numFmtId="0" fontId="2" fillId="2" borderId="4" xfId="0" applyFont="1" applyFill="1" applyBorder="1"/>
    <xf numFmtId="0" fontId="2" fillId="0" borderId="0" xfId="0" applyFont="1"/>
    <xf numFmtId="0" fontId="2" fillId="2" borderId="0" xfId="0" applyFont="1" applyFill="1"/>
    <xf numFmtId="0" fontId="2" fillId="2" borderId="6" xfId="0" applyFont="1" applyFill="1" applyBorder="1"/>
    <xf numFmtId="0" fontId="2" fillId="2" borderId="8" xfId="0" applyFont="1" applyFill="1" applyBorder="1"/>
    <xf numFmtId="0" fontId="2" fillId="2" borderId="9" xfId="0" applyFont="1" applyFill="1" applyBorder="1"/>
    <xf numFmtId="0" fontId="4" fillId="2" borderId="7" xfId="0" applyFont="1" applyFill="1" applyBorder="1"/>
    <xf numFmtId="0" fontId="3" fillId="2" borderId="2" xfId="0" applyFont="1" applyFill="1" applyBorder="1"/>
    <xf numFmtId="0" fontId="3" fillId="2" borderId="5" xfId="0" applyFont="1" applyFill="1" applyBorder="1"/>
    <xf numFmtId="0" fontId="5" fillId="0" borderId="0" xfId="0" applyFont="1"/>
    <xf numFmtId="44" fontId="6" fillId="3" borderId="0" xfId="0" applyNumberFormat="1" applyFont="1" applyFill="1" applyAlignment="1">
      <alignment horizontal="centerContinuous"/>
    </xf>
    <xf numFmtId="44" fontId="7" fillId="3" borderId="0" xfId="0" applyNumberFormat="1" applyFont="1" applyFill="1" applyAlignment="1">
      <alignment horizontal="centerContinuous"/>
    </xf>
    <xf numFmtId="164" fontId="2" fillId="0" borderId="0" xfId="0" applyNumberFormat="1" applyFont="1"/>
    <xf numFmtId="165" fontId="2" fillId="0" borderId="0" xfId="0" applyNumberFormat="1" applyFont="1"/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2" fillId="0" borderId="8" xfId="0" applyFont="1" applyBorder="1"/>
    <xf numFmtId="165" fontId="2" fillId="0" borderId="8" xfId="0" applyNumberFormat="1" applyFont="1" applyBorder="1" applyAlignment="1">
      <alignment horizontal="right"/>
    </xf>
    <xf numFmtId="0" fontId="2" fillId="3" borderId="0" xfId="0" applyFont="1" applyFill="1"/>
    <xf numFmtId="0" fontId="1" fillId="3" borderId="0" xfId="0" applyFont="1" applyFill="1"/>
    <xf numFmtId="0" fontId="3" fillId="4" borderId="10" xfId="0" applyFont="1" applyFill="1" applyBorder="1"/>
    <xf numFmtId="0" fontId="2" fillId="4" borderId="10" xfId="0" applyFont="1" applyFill="1" applyBorder="1"/>
    <xf numFmtId="164" fontId="3" fillId="4" borderId="10" xfId="0" applyNumberFormat="1" applyFont="1" applyFill="1" applyBorder="1"/>
    <xf numFmtId="167" fontId="3" fillId="4" borderId="10" xfId="0" applyNumberFormat="1" applyFont="1" applyFill="1" applyBorder="1" applyAlignment="1">
      <alignment horizontal="right"/>
    </xf>
    <xf numFmtId="0" fontId="3" fillId="2" borderId="0" xfId="0" applyFont="1" applyFill="1"/>
    <xf numFmtId="164" fontId="3" fillId="2" borderId="0" xfId="0" applyNumberFormat="1" applyFont="1" applyFill="1" applyAlignment="1">
      <alignment horizontal="right"/>
    </xf>
    <xf numFmtId="0" fontId="2" fillId="0" borderId="0" xfId="0" applyFont="1" applyAlignment="1">
      <alignment horizontal="center"/>
    </xf>
    <xf numFmtId="44" fontId="6" fillId="0" borderId="0" xfId="0" applyNumberFormat="1" applyFont="1" applyAlignment="1">
      <alignment horizontal="center"/>
    </xf>
    <xf numFmtId="0" fontId="5" fillId="0" borderId="0" xfId="0" applyFont="1" applyAlignment="1">
      <alignment horizontal="left" indent="1"/>
    </xf>
    <xf numFmtId="166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7" fontId="2" fillId="0" borderId="8" xfId="0" applyNumberFormat="1" applyFont="1" applyBorder="1" applyAlignment="1">
      <alignment horizontal="right"/>
    </xf>
    <xf numFmtId="166" fontId="2" fillId="0" borderId="8" xfId="0" applyNumberFormat="1" applyFont="1" applyBorder="1" applyAlignment="1">
      <alignment horizontal="right"/>
    </xf>
    <xf numFmtId="167" fontId="5" fillId="0" borderId="0" xfId="0" applyNumberFormat="1" applyFont="1" applyAlignment="1">
      <alignment horizontal="right"/>
    </xf>
    <xf numFmtId="0" fontId="3" fillId="4" borderId="0" xfId="0" applyFont="1" applyFill="1"/>
    <xf numFmtId="0" fontId="2" fillId="4" borderId="0" xfId="0" applyFont="1" applyFill="1"/>
    <xf numFmtId="164" fontId="3" fillId="4" borderId="0" xfId="0" applyNumberFormat="1" applyFont="1" applyFill="1" applyAlignment="1">
      <alignment horizontal="right"/>
    </xf>
    <xf numFmtId="167" fontId="3" fillId="4" borderId="0" xfId="0" applyNumberFormat="1" applyFont="1" applyFill="1" applyAlignment="1">
      <alignment horizontal="right"/>
    </xf>
    <xf numFmtId="164" fontId="3" fillId="4" borderId="10" xfId="0" applyNumberFormat="1" applyFont="1" applyFill="1" applyBorder="1" applyAlignment="1">
      <alignment horizontal="right"/>
    </xf>
    <xf numFmtId="0" fontId="3" fillId="2" borderId="11" xfId="0" applyFont="1" applyFill="1" applyBorder="1"/>
    <xf numFmtId="0" fontId="2" fillId="2" borderId="12" xfId="0" applyFont="1" applyFill="1" applyBorder="1"/>
    <xf numFmtId="164" fontId="3" fillId="2" borderId="12" xfId="0" applyNumberFormat="1" applyFont="1" applyFill="1" applyBorder="1"/>
    <xf numFmtId="0" fontId="2" fillId="2" borderId="13" xfId="0" applyFont="1" applyFill="1" applyBorder="1"/>
    <xf numFmtId="0" fontId="2" fillId="0" borderId="8" xfId="0" applyFont="1" applyBorder="1" applyAlignment="1">
      <alignment horizontal="center"/>
    </xf>
    <xf numFmtId="168" fontId="2" fillId="0" borderId="0" xfId="0" applyNumberFormat="1" applyFont="1" applyAlignment="1">
      <alignment horizontal="center"/>
    </xf>
    <xf numFmtId="168" fontId="2" fillId="0" borderId="8" xfId="0" applyNumberFormat="1" applyFont="1" applyBorder="1" applyAlignment="1">
      <alignment horizontal="center"/>
    </xf>
    <xf numFmtId="169" fontId="2" fillId="0" borderId="0" xfId="0" applyNumberFormat="1" applyFont="1" applyAlignment="1">
      <alignment horizontal="center"/>
    </xf>
    <xf numFmtId="169" fontId="2" fillId="0" borderId="8" xfId="0" applyNumberFormat="1" applyFont="1" applyBorder="1" applyAlignment="1">
      <alignment horizontal="center"/>
    </xf>
    <xf numFmtId="166" fontId="3" fillId="4" borderId="0" xfId="0" applyNumberFormat="1" applyFont="1" applyFill="1" applyAlignment="1">
      <alignment horizontal="right"/>
    </xf>
    <xf numFmtId="166" fontId="3" fillId="4" borderId="10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center"/>
    </xf>
    <xf numFmtId="170" fontId="8" fillId="5" borderId="1" xfId="0" applyNumberFormat="1" applyFont="1" applyFill="1" applyBorder="1"/>
    <xf numFmtId="44" fontId="6" fillId="0" borderId="0" xfId="0" applyNumberFormat="1" applyFont="1" applyAlignment="1">
      <alignment horizontal="centerContinuous"/>
    </xf>
    <xf numFmtId="0" fontId="2" fillId="0" borderId="10" xfId="0" applyFont="1" applyBorder="1"/>
    <xf numFmtId="164" fontId="3" fillId="0" borderId="10" xfId="0" applyNumberFormat="1" applyFont="1" applyBorder="1" applyAlignment="1">
      <alignment horizontal="right"/>
    </xf>
    <xf numFmtId="0" fontId="3" fillId="0" borderId="0" xfId="0" applyFont="1"/>
    <xf numFmtId="0" fontId="3" fillId="0" borderId="10" xfId="0" applyFont="1" applyBorder="1"/>
    <xf numFmtId="0" fontId="12" fillId="0" borderId="0" xfId="0" applyFont="1"/>
    <xf numFmtId="0" fontId="1" fillId="3" borderId="0" xfId="0" applyFont="1" applyFill="1" applyAlignment="1">
      <alignment vertical="center"/>
    </xf>
    <xf numFmtId="171" fontId="2" fillId="0" borderId="0" xfId="0" applyNumberFormat="1" applyFont="1"/>
    <xf numFmtId="167" fontId="2" fillId="0" borderId="0" xfId="0" applyNumberFormat="1" applyFont="1"/>
    <xf numFmtId="165" fontId="2" fillId="0" borderId="8" xfId="0" applyNumberFormat="1" applyFont="1" applyBorder="1"/>
    <xf numFmtId="165" fontId="2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4" fontId="2" fillId="2" borderId="0" xfId="0" applyNumberFormat="1" applyFont="1" applyFill="1"/>
    <xf numFmtId="166" fontId="2" fillId="0" borderId="8" xfId="0" applyNumberFormat="1" applyFont="1" applyBorder="1"/>
    <xf numFmtId="168" fontId="8" fillId="0" borderId="0" xfId="0" applyNumberFormat="1" applyFont="1" applyAlignment="1">
      <alignment horizontal="center"/>
    </xf>
    <xf numFmtId="164" fontId="8" fillId="5" borderId="1" xfId="0" applyNumberFormat="1" applyFont="1" applyFill="1" applyBorder="1"/>
    <xf numFmtId="171" fontId="8" fillId="5" borderId="1" xfId="0" applyNumberFormat="1" applyFont="1" applyFill="1" applyBorder="1"/>
    <xf numFmtId="164" fontId="3" fillId="0" borderId="0" xfId="0" applyNumberFormat="1" applyFont="1"/>
    <xf numFmtId="165" fontId="2" fillId="2" borderId="8" xfId="0" applyNumberFormat="1" applyFont="1" applyFill="1" applyBorder="1"/>
    <xf numFmtId="170" fontId="3" fillId="0" borderId="0" xfId="0" applyNumberFormat="1" applyFont="1"/>
    <xf numFmtId="170" fontId="2" fillId="0" borderId="8" xfId="0" applyNumberFormat="1" applyFont="1" applyBorder="1"/>
    <xf numFmtId="170" fontId="8" fillId="5" borderId="14" xfId="0" applyNumberFormat="1" applyFont="1" applyFill="1" applyBorder="1"/>
    <xf numFmtId="170" fontId="2" fillId="0" borderId="0" xfId="0" applyNumberFormat="1" applyFont="1"/>
    <xf numFmtId="9" fontId="2" fillId="0" borderId="0" xfId="0" applyNumberFormat="1" applyFont="1"/>
    <xf numFmtId="165" fontId="9" fillId="0" borderId="8" xfId="0" applyNumberFormat="1" applyFont="1" applyBorder="1"/>
    <xf numFmtId="167" fontId="3" fillId="0" borderId="1" xfId="0" applyNumberFormat="1" applyFont="1" applyBorder="1"/>
    <xf numFmtId="171" fontId="3" fillId="0" borderId="1" xfId="0" applyNumberFormat="1" applyFont="1" applyBorder="1"/>
    <xf numFmtId="164" fontId="11" fillId="5" borderId="1" xfId="0" applyNumberFormat="1" applyFont="1" applyFill="1" applyBorder="1"/>
    <xf numFmtId="171" fontId="10" fillId="5" borderId="1" xfId="0" applyNumberFormat="1" applyFont="1" applyFill="1" applyBorder="1"/>
    <xf numFmtId="170" fontId="10" fillId="5" borderId="1" xfId="0" applyNumberFormat="1" applyFont="1" applyFill="1" applyBorder="1"/>
    <xf numFmtId="170" fontId="10" fillId="5" borderId="14" xfId="0" applyNumberFormat="1" applyFont="1" applyFill="1" applyBorder="1"/>
    <xf numFmtId="0" fontId="0" fillId="0" borderId="12" xfId="0" applyBorder="1"/>
    <xf numFmtId="172" fontId="8" fillId="0" borderId="0" xfId="0" applyNumberFormat="1" applyFont="1" applyAlignment="1">
      <alignment horizontal="center"/>
    </xf>
    <xf numFmtId="166" fontId="8" fillId="0" borderId="0" xfId="0" applyNumberFormat="1" applyFont="1"/>
    <xf numFmtId="0" fontId="8" fillId="0" borderId="0" xfId="0" applyFont="1" applyAlignment="1">
      <alignment horizontal="center"/>
    </xf>
    <xf numFmtId="171" fontId="8" fillId="0" borderId="0" xfId="0" applyNumberFormat="1" applyFont="1"/>
    <xf numFmtId="168" fontId="10" fillId="0" borderId="0" xfId="0" applyNumberFormat="1" applyFont="1" applyAlignment="1">
      <alignment horizontal="center"/>
    </xf>
    <xf numFmtId="170" fontId="10" fillId="0" borderId="8" xfId="0" applyNumberFormat="1" applyFont="1" applyBorder="1"/>
    <xf numFmtId="170" fontId="10" fillId="0" borderId="0" xfId="0" applyNumberFormat="1" applyFont="1"/>
    <xf numFmtId="0" fontId="8" fillId="5" borderId="1" xfId="0" applyFont="1" applyFill="1" applyBorder="1" applyAlignment="1">
      <alignment horizontal="center"/>
    </xf>
    <xf numFmtId="167" fontId="10" fillId="5" borderId="1" xfId="0" applyNumberFormat="1" applyFont="1" applyFill="1" applyBorder="1" applyAlignment="1">
      <alignment horizontal="center"/>
    </xf>
    <xf numFmtId="173" fontId="8" fillId="0" borderId="0" xfId="0" applyNumberFormat="1" applyFont="1" applyAlignment="1">
      <alignment horizontal="center"/>
    </xf>
    <xf numFmtId="166" fontId="10" fillId="0" borderId="0" xfId="0" applyNumberFormat="1" applyFont="1"/>
    <xf numFmtId="166" fontId="10" fillId="0" borderId="8" xfId="0" applyNumberFormat="1" applyFont="1" applyBorder="1"/>
    <xf numFmtId="166" fontId="3" fillId="0" borderId="0" xfId="0" applyNumberFormat="1" applyFont="1"/>
    <xf numFmtId="164" fontId="3" fillId="0" borderId="10" xfId="0" applyNumberFormat="1" applyFont="1" applyBorder="1"/>
    <xf numFmtId="0" fontId="12" fillId="0" borderId="0" xfId="0" applyFont="1" applyAlignment="1">
      <alignment horizontal="center" vertical="center"/>
    </xf>
    <xf numFmtId="170" fontId="3" fillId="2" borderId="0" xfId="0" applyNumberFormat="1" applyFont="1" applyFill="1"/>
    <xf numFmtId="7" fontId="2" fillId="0" borderId="0" xfId="0" applyNumberFormat="1" applyFont="1"/>
    <xf numFmtId="17" fontId="8" fillId="0" borderId="0" xfId="0" applyNumberFormat="1" applyFont="1" applyAlignment="1">
      <alignment horizontal="center"/>
    </xf>
    <xf numFmtId="17" fontId="2" fillId="0" borderId="0" xfId="0" applyNumberFormat="1" applyFont="1" applyAlignment="1">
      <alignment horizontal="center"/>
    </xf>
    <xf numFmtId="44" fontId="7" fillId="3" borderId="0" xfId="0" applyNumberFormat="1" applyFont="1" applyFill="1" applyAlignment="1">
      <alignment horizontal="center"/>
    </xf>
    <xf numFmtId="44" fontId="6" fillId="0" borderId="15" xfId="0" applyNumberFormat="1" applyFont="1" applyBorder="1" applyAlignment="1">
      <alignment horizontal="center"/>
    </xf>
    <xf numFmtId="0" fontId="2" fillId="0" borderId="16" xfId="0" applyFont="1" applyBorder="1"/>
    <xf numFmtId="164" fontId="8" fillId="0" borderId="0" xfId="0" applyNumberFormat="1" applyFont="1" applyAlignment="1">
      <alignment horizontal="right"/>
    </xf>
    <xf numFmtId="166" fontId="2" fillId="0" borderId="0" xfId="0" applyNumberFormat="1" applyFont="1"/>
    <xf numFmtId="165" fontId="8" fillId="0" borderId="0" xfId="0" applyNumberFormat="1" applyFont="1" applyAlignment="1">
      <alignment horizontal="right"/>
    </xf>
    <xf numFmtId="165" fontId="8" fillId="0" borderId="8" xfId="0" applyNumberFormat="1" applyFont="1" applyBorder="1" applyAlignment="1">
      <alignment horizontal="right"/>
    </xf>
    <xf numFmtId="164" fontId="3" fillId="0" borderId="0" xfId="0" applyNumberFormat="1" applyFont="1" applyAlignment="1">
      <alignment horizontal="right"/>
    </xf>
    <xf numFmtId="164" fontId="13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164" fontId="13" fillId="0" borderId="10" xfId="0" applyNumberFormat="1" applyFont="1" applyBorder="1" applyAlignment="1">
      <alignment horizontal="right"/>
    </xf>
    <xf numFmtId="166" fontId="5" fillId="0" borderId="16" xfId="0" applyNumberFormat="1" applyFont="1" applyBorder="1" applyAlignment="1">
      <alignment horizontal="right"/>
    </xf>
    <xf numFmtId="0" fontId="2" fillId="0" borderId="19" xfId="0" applyFont="1" applyBorder="1"/>
    <xf numFmtId="165" fontId="2" fillId="0" borderId="16" xfId="0" applyNumberFormat="1" applyFont="1" applyBorder="1" applyAlignment="1">
      <alignment horizontal="right"/>
    </xf>
    <xf numFmtId="165" fontId="2" fillId="0" borderId="17" xfId="0" applyNumberFormat="1" applyFont="1" applyBorder="1" applyAlignment="1">
      <alignment horizontal="right"/>
    </xf>
    <xf numFmtId="164" fontId="2" fillId="0" borderId="16" xfId="0" applyNumberFormat="1" applyFont="1" applyBorder="1" applyAlignment="1">
      <alignment horizontal="right"/>
    </xf>
    <xf numFmtId="166" fontId="2" fillId="0" borderId="16" xfId="0" applyNumberFormat="1" applyFont="1" applyBorder="1" applyAlignment="1">
      <alignment horizontal="center"/>
    </xf>
    <xf numFmtId="166" fontId="2" fillId="0" borderId="17" xfId="0" applyNumberFormat="1" applyFont="1" applyBorder="1" applyAlignment="1">
      <alignment horizontal="center"/>
    </xf>
    <xf numFmtId="164" fontId="3" fillId="4" borderId="16" xfId="0" applyNumberFormat="1" applyFont="1" applyFill="1" applyBorder="1" applyAlignment="1">
      <alignment horizontal="right"/>
    </xf>
    <xf numFmtId="166" fontId="3" fillId="4" borderId="16" xfId="0" applyNumberFormat="1" applyFont="1" applyFill="1" applyBorder="1" applyAlignment="1">
      <alignment horizontal="center"/>
    </xf>
    <xf numFmtId="166" fontId="5" fillId="2" borderId="0" xfId="0" applyNumberFormat="1" applyFont="1" applyFill="1" applyAlignment="1">
      <alignment horizontal="right"/>
    </xf>
    <xf numFmtId="164" fontId="3" fillId="4" borderId="18" xfId="0" applyNumberFormat="1" applyFont="1" applyFill="1" applyBorder="1" applyAlignment="1">
      <alignment horizontal="right"/>
    </xf>
    <xf numFmtId="166" fontId="3" fillId="4" borderId="18" xfId="0" applyNumberFormat="1" applyFont="1" applyFill="1" applyBorder="1" applyAlignment="1">
      <alignment horizontal="center"/>
    </xf>
    <xf numFmtId="164" fontId="3" fillId="0" borderId="16" xfId="0" applyNumberFormat="1" applyFont="1" applyBorder="1" applyAlignment="1">
      <alignment horizontal="right"/>
    </xf>
    <xf numFmtId="166" fontId="3" fillId="0" borderId="16" xfId="0" applyNumberFormat="1" applyFont="1" applyBorder="1" applyAlignment="1">
      <alignment horizontal="center"/>
    </xf>
    <xf numFmtId="174" fontId="2" fillId="0" borderId="0" xfId="0" applyNumberFormat="1" applyFont="1" applyAlignment="1">
      <alignment horizontal="right"/>
    </xf>
    <xf numFmtId="174" fontId="2" fillId="0" borderId="8" xfId="0" applyNumberFormat="1" applyFont="1" applyBorder="1" applyAlignment="1">
      <alignment horizontal="right"/>
    </xf>
    <xf numFmtId="166" fontId="2" fillId="4" borderId="0" xfId="0" applyNumberFormat="1" applyFont="1" applyFill="1"/>
    <xf numFmtId="166" fontId="2" fillId="4" borderId="8" xfId="0" applyNumberFormat="1" applyFont="1" applyFill="1" applyBorder="1"/>
    <xf numFmtId="166" fontId="3" fillId="4" borderId="0" xfId="0" applyNumberFormat="1" applyFont="1" applyFill="1"/>
    <xf numFmtId="166" fontId="4" fillId="4" borderId="0" xfId="0" applyNumberFormat="1" applyFont="1" applyFill="1"/>
    <xf numFmtId="174" fontId="2" fillId="4" borderId="0" xfId="0" applyNumberFormat="1" applyFont="1" applyFill="1"/>
    <xf numFmtId="174" fontId="2" fillId="4" borderId="8" xfId="0" applyNumberFormat="1" applyFont="1" applyFill="1" applyBorder="1"/>
    <xf numFmtId="174" fontId="3" fillId="4" borderId="0" xfId="0" applyNumberFormat="1" applyFont="1" applyFill="1"/>
    <xf numFmtId="174" fontId="3" fillId="0" borderId="0" xfId="0" applyNumberFormat="1" applyFont="1" applyAlignment="1">
      <alignment horizontal="right"/>
    </xf>
    <xf numFmtId="164" fontId="13" fillId="4" borderId="10" xfId="0" applyNumberFormat="1" applyFont="1" applyFill="1" applyBorder="1" applyAlignment="1">
      <alignment horizontal="right"/>
    </xf>
    <xf numFmtId="0" fontId="2" fillId="0" borderId="15" xfId="0" applyFont="1" applyBorder="1"/>
    <xf numFmtId="166" fontId="2" fillId="0" borderId="16" xfId="0" applyNumberFormat="1" applyFont="1" applyBorder="1" applyAlignment="1">
      <alignment horizontal="right"/>
    </xf>
    <xf numFmtId="166" fontId="2" fillId="0" borderId="17" xfId="0" applyNumberFormat="1" applyFont="1" applyBorder="1" applyAlignment="1">
      <alignment horizontal="right"/>
    </xf>
    <xf numFmtId="166" fontId="3" fillId="0" borderId="16" xfId="0" applyNumberFormat="1" applyFont="1" applyBorder="1"/>
    <xf numFmtId="164" fontId="8" fillId="0" borderId="16" xfId="0" applyNumberFormat="1" applyFont="1" applyBorder="1" applyAlignment="1">
      <alignment horizontal="right"/>
    </xf>
    <xf numFmtId="165" fontId="8" fillId="0" borderId="16" xfId="0" applyNumberFormat="1" applyFont="1" applyBorder="1" applyAlignment="1">
      <alignment horizontal="right"/>
    </xf>
    <xf numFmtId="165" fontId="8" fillId="0" borderId="17" xfId="0" applyNumberFormat="1" applyFont="1" applyBorder="1" applyAlignment="1">
      <alignment horizontal="right"/>
    </xf>
    <xf numFmtId="164" fontId="3" fillId="0" borderId="18" xfId="0" applyNumberFormat="1" applyFont="1" applyBorder="1" applyAlignment="1">
      <alignment horizontal="right"/>
    </xf>
    <xf numFmtId="174" fontId="2" fillId="0" borderId="16" xfId="0" applyNumberFormat="1" applyFont="1" applyBorder="1" applyAlignment="1">
      <alignment horizontal="right"/>
    </xf>
    <xf numFmtId="174" fontId="2" fillId="0" borderId="17" xfId="0" applyNumberFormat="1" applyFont="1" applyBorder="1" applyAlignment="1">
      <alignment horizontal="right"/>
    </xf>
    <xf numFmtId="174" fontId="3" fillId="0" borderId="16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165" fontId="3" fillId="4" borderId="0" xfId="0" applyNumberFormat="1" applyFont="1" applyFill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5" fontId="8" fillId="0" borderId="0" xfId="0" applyNumberFormat="1" applyFont="1" applyAlignment="1">
      <alignment horizontal="center"/>
    </xf>
    <xf numFmtId="169" fontId="8" fillId="0" borderId="0" xfId="0" applyNumberFormat="1" applyFont="1" applyAlignment="1">
      <alignment horizontal="center"/>
    </xf>
    <xf numFmtId="165" fontId="8" fillId="0" borderId="8" xfId="0" applyNumberFormat="1" applyFont="1" applyBorder="1" applyAlignment="1">
      <alignment horizontal="center"/>
    </xf>
    <xf numFmtId="169" fontId="8" fillId="0" borderId="8" xfId="0" applyNumberFormat="1" applyFont="1" applyBorder="1" applyAlignment="1">
      <alignment horizontal="center"/>
    </xf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mie Anderson" id="{61A643A1-B25C-41D7-BCBA-69D5A6D78403}" userId="Jamie Anderson" providerId="None"/>
</personList>
</file>

<file path=xl/theme/theme1.xml><?xml version="1.0" encoding="utf-8"?>
<a:theme xmlns:a="http://schemas.openxmlformats.org/drawingml/2006/main" name="2024 Centerbridge PPT Template">
  <a:themeElements>
    <a:clrScheme name="Centerbridge">
      <a:dk1>
        <a:srgbClr val="2E3035"/>
      </a:dk1>
      <a:lt1>
        <a:srgbClr val="FFFFFF"/>
      </a:lt1>
      <a:dk2>
        <a:srgbClr val="00453F"/>
      </a:dk2>
      <a:lt2>
        <a:srgbClr val="F3F3F3"/>
      </a:lt2>
      <a:accent1>
        <a:srgbClr val="49839F"/>
      </a:accent1>
      <a:accent2>
        <a:srgbClr val="1C4A68"/>
      </a:accent2>
      <a:accent3>
        <a:srgbClr val="AFBE70"/>
      </a:accent3>
      <a:accent4>
        <a:srgbClr val="328F85"/>
      </a:accent4>
      <a:accent5>
        <a:srgbClr val="9098A4"/>
      </a:accent5>
      <a:accent6>
        <a:srgbClr val="5D616C"/>
      </a:accent6>
      <a:hlink>
        <a:srgbClr val="49839F"/>
      </a:hlink>
      <a:folHlink>
        <a:srgbClr val="2E3035"/>
      </a:folHlink>
    </a:clrScheme>
    <a:fontScheme name="Office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6350">
          <a:solidFill>
            <a:schemeClr val="accent1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2024 Centerbridge PPT Template" id="{E338F891-CCA0-4B3E-B1B4-BAC7D2572629}" vid="{46F8C29D-BADC-4AC5-B9B3-5C7D1CE9F84E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6" dT="2024-09-20T16:17:56.29" personId="{61A643A1-B25C-41D7-BCBA-69D5A6D78403}" id="{17C75FB7-F1B5-4D5B-8B1B-D13C92662EAE}">
    <text>As of 8/30/24 Legal Closing Date</text>
  </threadedComment>
  <threadedComment ref="F56" dT="2024-09-20T20:22:40.14" personId="{61A643A1-B25C-41D7-BCBA-69D5A6D78403}" id="{B39FBA59-4114-4DA8-BDD2-353C1D32D8BE}">
    <text>Amount required to get to 1.10 : 1.00 fund leverage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4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5BC9C-BDE9-44A7-B822-7E9D476CC665}">
  <dimension ref="A1:V46"/>
  <sheetViews>
    <sheetView showGridLines="0" tabSelected="1" zoomScale="85" zoomScaleNormal="85" workbookViewId="0">
      <pane xSplit="7" ySplit="8" topLeftCell="H9" activePane="bottomRight" state="frozen"/>
      <selection pane="bottomRight" activeCell="H9" sqref="H9"/>
      <selection pane="bottomLeft" activeCell="A9" sqref="A9"/>
      <selection pane="topRight" activeCell="H1" sqref="H1"/>
    </sheetView>
  </sheetViews>
  <sheetFormatPr defaultRowHeight="12.75"/>
  <cols>
    <col min="1" max="2" width="2.7109375" style="3" customWidth="1"/>
    <col min="3" max="6" width="11" style="3" customWidth="1"/>
    <col min="7" max="7" width="2.7109375" style="3" customWidth="1"/>
    <col min="8" max="11" width="11" style="3" customWidth="1"/>
    <col min="12" max="12" width="2.7109375" style="3" customWidth="1"/>
    <col min="13" max="16" width="11" style="3" customWidth="1"/>
    <col min="17" max="18" width="9.140625" style="3"/>
    <col min="19" max="19" width="9.7109375" style="3" customWidth="1"/>
    <col min="20" max="16384" width="9.140625" style="3"/>
  </cols>
  <sheetData>
    <row r="1" spans="1:19">
      <c r="C1" s="9" t="str">
        <f>++FinSum!$C$1</f>
        <v>[Company Name]</v>
      </c>
      <c r="D1" s="1"/>
      <c r="E1" s="2"/>
    </row>
    <row r="2" spans="1:19">
      <c r="C2" s="10" t="str">
        <f>++FinSum!$C$2</f>
        <v>Posting Memo Backup</v>
      </c>
      <c r="D2" s="4"/>
      <c r="E2" s="5"/>
    </row>
    <row r="3" spans="1:19">
      <c r="C3" s="8" t="str">
        <f ca="1">++TEXT(TODAY(),"MMMM D, YYYY")</f>
        <v>April 24, 2026</v>
      </c>
      <c r="D3" s="6"/>
      <c r="E3" s="7"/>
    </row>
    <row r="5" spans="1:19">
      <c r="A5" s="153" t="s">
        <v>0</v>
      </c>
      <c r="B5" s="153" t="s">
        <v>0</v>
      </c>
      <c r="C5" s="21" t="s">
        <v>1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1:19" ht="5.0999999999999996" customHeight="1"/>
    <row r="7" spans="1:19">
      <c r="C7" s="11" t="s">
        <v>2</v>
      </c>
    </row>
    <row r="8" spans="1:19" ht="5.0999999999999996" customHeight="1"/>
    <row r="9" spans="1:19" ht="15">
      <c r="A9" s="153" t="s">
        <v>0</v>
      </c>
      <c r="B9" s="153" t="s">
        <v>0</v>
      </c>
      <c r="C9" s="13" t="s">
        <v>3</v>
      </c>
      <c r="D9" s="12"/>
      <c r="E9" s="12"/>
      <c r="F9" s="12"/>
      <c r="H9" s="13" t="s">
        <v>4</v>
      </c>
      <c r="I9" s="12"/>
      <c r="J9" s="12"/>
      <c r="K9" s="12"/>
      <c r="M9" s="13" t="s">
        <v>5</v>
      </c>
      <c r="N9" s="12"/>
      <c r="O9" s="12"/>
      <c r="P9" s="12"/>
    </row>
    <row r="10" spans="1:19" ht="5.0999999999999996" customHeight="1"/>
    <row r="11" spans="1:19">
      <c r="C11" s="3" t="str">
        <f>++"Priority RCF ($["&amp;TEXT(U32/1000,"#,##0.0")&amp;"]MM)"</f>
        <v>Priority RCF ($[0.0]MM)</v>
      </c>
      <c r="F11" s="16">
        <v>0</v>
      </c>
      <c r="H11" s="3" t="s">
        <v>6</v>
      </c>
      <c r="K11" s="16">
        <v>0</v>
      </c>
      <c r="M11" s="3" t="str">
        <f>++C43</f>
        <v>LTM 9/25 CA EBITDA</v>
      </c>
      <c r="P11" s="16">
        <f>++I43</f>
        <v>0</v>
      </c>
    </row>
    <row r="12" spans="1:19">
      <c r="C12" s="3" t="s">
        <v>7</v>
      </c>
      <c r="F12" s="15">
        <v>0</v>
      </c>
      <c r="H12" s="3" t="s">
        <v>6</v>
      </c>
      <c r="K12" s="17">
        <v>0</v>
      </c>
      <c r="M12" s="3" t="s">
        <v>8</v>
      </c>
      <c r="P12" s="17">
        <f>++-FinSum!L22</f>
        <v>0</v>
      </c>
    </row>
    <row r="13" spans="1:19">
      <c r="C13" s="3" t="str">
        <f>++"1L DDTL ($["&amp;TEXT(U34/1000,"#,##0.0")&amp;"]MM)"</f>
        <v>1L DDTL ($[0.0]MM)</v>
      </c>
      <c r="F13" s="15">
        <v>0</v>
      </c>
      <c r="H13" s="3" t="s">
        <v>6</v>
      </c>
      <c r="K13" s="17">
        <v>0</v>
      </c>
      <c r="M13" s="3" t="s">
        <v>9</v>
      </c>
      <c r="P13" s="17">
        <v>0</v>
      </c>
    </row>
    <row r="14" spans="1:19">
      <c r="C14" s="3" t="s">
        <v>10</v>
      </c>
      <c r="F14" s="15">
        <f>++F21-SUM(F11:F13)</f>
        <v>0</v>
      </c>
      <c r="H14" s="3" t="s">
        <v>6</v>
      </c>
      <c r="K14" s="17">
        <v>0</v>
      </c>
      <c r="M14" s="18" t="s">
        <v>11</v>
      </c>
      <c r="N14" s="18"/>
      <c r="O14" s="18"/>
      <c r="P14" s="19">
        <f>++-FinSum!L29</f>
        <v>0</v>
      </c>
      <c r="S14"/>
    </row>
    <row r="15" spans="1:19">
      <c r="H15" s="3" t="s">
        <v>12</v>
      </c>
      <c r="K15" s="17">
        <f>++V35</f>
        <v>0</v>
      </c>
      <c r="M15" s="26" t="s">
        <v>13</v>
      </c>
      <c r="N15" s="4"/>
      <c r="O15" s="4"/>
      <c r="P15" s="27">
        <f>++SUM(P11:P14)</f>
        <v>0</v>
      </c>
    </row>
    <row r="16" spans="1:19">
      <c r="F16" s="15"/>
      <c r="H16" s="3" t="s">
        <v>14</v>
      </c>
      <c r="K16" s="17">
        <v>0</v>
      </c>
      <c r="S16" s="53" t="s">
        <v>15</v>
      </c>
    </row>
    <row r="17" spans="1:22">
      <c r="F17" s="15"/>
      <c r="M17" s="3" t="s">
        <v>16</v>
      </c>
      <c r="P17" s="17">
        <f>++SUM((U32-F11)*0.5%,(U34-F13)*1%,F11*SUM(S17,S32/10000),F12*SUM(S17,S33/10000),F13*SUM(S17,S34/10000))</f>
        <v>0</v>
      </c>
      <c r="S17" s="54">
        <v>3.8747700000000003E-2</v>
      </c>
    </row>
    <row r="18" spans="1:22">
      <c r="M18" s="18" t="s">
        <v>17</v>
      </c>
      <c r="N18" s="18"/>
      <c r="O18" s="18"/>
      <c r="P18" s="19">
        <f>0.01*F12</f>
        <v>0</v>
      </c>
    </row>
    <row r="19" spans="1:22">
      <c r="M19" s="26" t="s">
        <v>18</v>
      </c>
      <c r="N19" s="4"/>
      <c r="O19" s="4"/>
      <c r="P19" s="27">
        <f>++SUM(P17:P18)</f>
        <v>0</v>
      </c>
    </row>
    <row r="21" spans="1:22" ht="13.5" thickBot="1">
      <c r="C21" s="22" t="s">
        <v>19</v>
      </c>
      <c r="D21" s="23"/>
      <c r="E21" s="23"/>
      <c r="F21" s="24">
        <f>++K21</f>
        <v>0</v>
      </c>
      <c r="H21" s="22" t="s">
        <v>20</v>
      </c>
      <c r="I21" s="23"/>
      <c r="J21" s="23"/>
      <c r="K21" s="24">
        <f>++SUM(K11:K20)</f>
        <v>0</v>
      </c>
      <c r="M21" s="22" t="s">
        <v>21</v>
      </c>
      <c r="N21" s="23"/>
      <c r="O21" s="23"/>
      <c r="P21" s="25">
        <f>++IFERROR(P15/P19,0)</f>
        <v>0</v>
      </c>
    </row>
    <row r="22" spans="1:22" ht="13.5" thickTop="1"/>
    <row r="24" spans="1:22">
      <c r="A24" s="153"/>
      <c r="B24" s="153" t="s">
        <v>0</v>
      </c>
      <c r="C24" s="21" t="s">
        <v>22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</row>
    <row r="25" spans="1:22" ht="5.0999999999999996" customHeight="1"/>
    <row r="26" spans="1:22" ht="15">
      <c r="C26" s="11" t="s">
        <v>2</v>
      </c>
      <c r="I26" s="13" t="str">
        <f>++"Pro Forma ("&amp;TEXT(FinSum!$L$2,"M/YY")&amp;")"</f>
        <v>Pro Forma (9/25)</v>
      </c>
      <c r="J26" s="12"/>
      <c r="K26" s="12"/>
    </row>
    <row r="27" spans="1:22" ht="5.0999999999999996" customHeight="1"/>
    <row r="28" spans="1:22" ht="15">
      <c r="C28" s="11" t="s">
        <v>23</v>
      </c>
      <c r="I28" s="29" t="s">
        <v>24</v>
      </c>
      <c r="J28" s="29" t="s">
        <v>25</v>
      </c>
      <c r="K28" s="29" t="s">
        <v>26</v>
      </c>
      <c r="M28" s="29" t="s">
        <v>27</v>
      </c>
      <c r="N28" s="29" t="s">
        <v>28</v>
      </c>
      <c r="O28" s="29" t="s">
        <v>29</v>
      </c>
      <c r="P28" s="29" t="s">
        <v>30</v>
      </c>
    </row>
    <row r="29" spans="1:22" ht="5.0999999999999996" customHeight="1"/>
    <row r="30" spans="1:22">
      <c r="C30" s="3" t="s">
        <v>31</v>
      </c>
      <c r="I30" s="16">
        <v>0</v>
      </c>
      <c r="J30" s="32"/>
      <c r="K30" s="31"/>
      <c r="S30" s="63"/>
    </row>
    <row r="32" spans="1:22">
      <c r="C32" s="3" t="str">
        <f>++C11</f>
        <v>Priority RCF ($[0.0]MM)</v>
      </c>
      <c r="I32" s="17">
        <f>++F11</f>
        <v>0</v>
      </c>
      <c r="J32" s="32">
        <f>++IFERROR(I32/I$43,0)</f>
        <v>0</v>
      </c>
      <c r="K32" s="31">
        <f>++IFERROR(I32/I$40,0)</f>
        <v>0</v>
      </c>
      <c r="M32" s="47" t="s">
        <v>32</v>
      </c>
      <c r="N32" s="28" t="str">
        <f>++"S + ["&amp;TEXT(S32,"#,###")&amp;"]"</f>
        <v>S + [325]</v>
      </c>
      <c r="O32" s="49" t="str">
        <f>++"["&amp;TEXT(T32,"#,##0.00")&amp;"]"</f>
        <v>[99.00]</v>
      </c>
      <c r="P32" s="28" t="s">
        <v>33</v>
      </c>
      <c r="S32" s="156">
        <v>325</v>
      </c>
      <c r="T32" s="157">
        <v>99</v>
      </c>
      <c r="U32" s="111">
        <f>++MROUND(I43,1000)</f>
        <v>0</v>
      </c>
      <c r="V32" s="111">
        <f>++(100-T32)/100*U32</f>
        <v>0</v>
      </c>
    </row>
    <row r="33" spans="1:22">
      <c r="C33" s="3" t="str">
        <f>++C12</f>
        <v>1L Term Loan B</v>
      </c>
      <c r="I33" s="17">
        <f>++F12</f>
        <v>0</v>
      </c>
      <c r="J33" s="32">
        <f>++IFERROR(I33/I$43,0)</f>
        <v>0</v>
      </c>
      <c r="K33" s="31">
        <f>++IFERROR(I33/I$40,0)</f>
        <v>0</v>
      </c>
      <c r="M33" s="47" t="s">
        <v>32</v>
      </c>
      <c r="N33" s="28" t="str">
        <f t="shared" ref="N33:N34" si="0">++"S + ["&amp;TEXT(S33,"#,###")&amp;"]"</f>
        <v>S + [575]</v>
      </c>
      <c r="O33" s="49" t="str">
        <f t="shared" ref="O33:O34" si="1">++"["&amp;TEXT(T33,"#,##0.00")&amp;"]"</f>
        <v>[98.00]</v>
      </c>
      <c r="P33" s="28" t="s">
        <v>34</v>
      </c>
      <c r="S33" s="156">
        <v>575</v>
      </c>
      <c r="T33" s="157">
        <v>98</v>
      </c>
      <c r="U33" s="111">
        <f>++I33</f>
        <v>0</v>
      </c>
      <c r="V33" s="111">
        <f t="shared" ref="V33" si="2">++(100-T33)/100*U33</f>
        <v>0</v>
      </c>
    </row>
    <row r="34" spans="1:22">
      <c r="C34" s="18" t="str">
        <f>++C13</f>
        <v>1L DDTL ($[0.0]MM)</v>
      </c>
      <c r="D34" s="18"/>
      <c r="E34" s="18"/>
      <c r="F34" s="18"/>
      <c r="G34" s="18"/>
      <c r="H34" s="18"/>
      <c r="I34" s="19">
        <f>++F13</f>
        <v>0</v>
      </c>
      <c r="J34" s="34">
        <f>++IFERROR(I34/I$43,0)</f>
        <v>0</v>
      </c>
      <c r="K34" s="35">
        <f>++IFERROR(I34/I$40,0)</f>
        <v>0</v>
      </c>
      <c r="L34" s="18"/>
      <c r="M34" s="48" t="s">
        <v>32</v>
      </c>
      <c r="N34" s="46" t="str">
        <f t="shared" si="0"/>
        <v>S + [575]</v>
      </c>
      <c r="O34" s="50" t="str">
        <f t="shared" si="1"/>
        <v>[98.00]</v>
      </c>
      <c r="P34" s="46" t="str">
        <f>++P33</f>
        <v>[102 / 101]</v>
      </c>
      <c r="S34" s="158">
        <f>++S33</f>
        <v>575</v>
      </c>
      <c r="T34" s="159">
        <f>++T33</f>
        <v>98</v>
      </c>
      <c r="U34" s="112">
        <v>0</v>
      </c>
      <c r="V34" s="112">
        <f>++((100-T34)/100)/2*U34</f>
        <v>0</v>
      </c>
    </row>
    <row r="35" spans="1:22">
      <c r="C35" s="37" t="s">
        <v>35</v>
      </c>
      <c r="D35" s="38"/>
      <c r="E35" s="38"/>
      <c r="F35" s="38"/>
      <c r="G35" s="38"/>
      <c r="H35" s="38"/>
      <c r="I35" s="39">
        <f>++SUM(I32:I34)</f>
        <v>0</v>
      </c>
      <c r="J35" s="40">
        <f>++IFERROR(I35/I$43,0)</f>
        <v>0</v>
      </c>
      <c r="K35" s="51">
        <f>++IFERROR(I35/I$40,0)</f>
        <v>0</v>
      </c>
      <c r="L35" s="38"/>
      <c r="M35" s="38"/>
      <c r="N35" s="160" t="str">
        <f t="shared" ref="N35" si="3">++"S + ["&amp;TEXT(S35,"#,###")&amp;"]"</f>
        <v>S + []</v>
      </c>
      <c r="O35" s="155" t="str">
        <f t="shared" ref="O35" si="4">++"["&amp;TEXT(T35,"#,##0.00")&amp;"]"</f>
        <v>[0.00]</v>
      </c>
      <c r="P35" s="38"/>
      <c r="S35" s="154">
        <f>++IFERROR(SUMPRODUCT($I$32:$I$34,S$32:S$34)/SUM($I$32:$I$34),0)</f>
        <v>0</v>
      </c>
      <c r="T35" s="155">
        <f>++IFERROR(SUMPRODUCT($I$32:$I$34,T$32:T$34)/SUM($I$32:$I$34),0)</f>
        <v>0</v>
      </c>
      <c r="U35" s="39">
        <f>SUM(U32:U34)</f>
        <v>0</v>
      </c>
      <c r="V35" s="39">
        <f>SUM(V32:V34)</f>
        <v>0</v>
      </c>
    </row>
    <row r="36" spans="1:22">
      <c r="C36" s="30" t="s">
        <v>36</v>
      </c>
      <c r="I36" s="33">
        <f>++I35-I$30</f>
        <v>0</v>
      </c>
      <c r="J36" s="36">
        <f>++IFERROR(I36/I$43,0)</f>
        <v>0</v>
      </c>
      <c r="K36" s="31"/>
    </row>
    <row r="38" spans="1:22">
      <c r="C38" s="3" t="s">
        <v>37</v>
      </c>
      <c r="I38" s="17">
        <f>++F14</f>
        <v>0</v>
      </c>
      <c r="J38" s="32">
        <f t="shared" ref="J38:J40" si="5">++IFERROR(I38/I$43,0)</f>
        <v>0</v>
      </c>
      <c r="K38" s="31">
        <f t="shared" ref="K38:K39" si="6">++IFERROR(I38/I$40,0)</f>
        <v>0</v>
      </c>
    </row>
    <row r="39" spans="1:22">
      <c r="C39" s="3" t="s">
        <v>38</v>
      </c>
      <c r="I39" s="17">
        <f>++I40-SUM(I35,I38)</f>
        <v>0</v>
      </c>
      <c r="J39" s="32">
        <f t="shared" si="5"/>
        <v>0</v>
      </c>
      <c r="K39" s="31">
        <f t="shared" si="6"/>
        <v>0</v>
      </c>
    </row>
    <row r="40" spans="1:22" ht="13.5" thickBot="1">
      <c r="C40" s="22" t="s">
        <v>39</v>
      </c>
      <c r="D40" s="23"/>
      <c r="E40" s="23"/>
      <c r="F40" s="23"/>
      <c r="G40" s="23"/>
      <c r="H40" s="23"/>
      <c r="I40" s="41">
        <f>++SUM(I41,I30)</f>
        <v>0</v>
      </c>
      <c r="J40" s="25">
        <f t="shared" si="5"/>
        <v>0</v>
      </c>
      <c r="K40" s="52">
        <f>++SUM(K35,K38:K39)</f>
        <v>0</v>
      </c>
      <c r="L40" s="23"/>
      <c r="M40" s="23"/>
      <c r="N40" s="23"/>
      <c r="O40" s="23"/>
      <c r="P40" s="23"/>
    </row>
    <row r="41" spans="1:22" ht="13.5" thickTop="1">
      <c r="C41" s="30" t="s">
        <v>40</v>
      </c>
      <c r="I41" s="33">
        <f>++I43*J41</f>
        <v>0</v>
      </c>
      <c r="J41" s="36">
        <v>0</v>
      </c>
      <c r="K41" s="31"/>
    </row>
    <row r="43" spans="1:22">
      <c r="C43" s="42" t="str">
        <f>++"LTM "&amp;TEXT(FinSum!$L$2,"M/YY")&amp;" CA EBITDA"</f>
        <v>LTM 9/25 CA EBITDA</v>
      </c>
      <c r="D43" s="43"/>
      <c r="E43" s="43"/>
      <c r="F43" s="43"/>
      <c r="G43" s="43"/>
      <c r="H43" s="43"/>
      <c r="I43" s="44">
        <f>++FinSum!L23</f>
        <v>0</v>
      </c>
      <c r="J43" s="43"/>
      <c r="K43" s="43"/>
      <c r="L43" s="43"/>
      <c r="M43" s="43"/>
      <c r="N43" s="43"/>
      <c r="O43" s="43"/>
      <c r="P43" s="45"/>
    </row>
    <row r="46" spans="1:22">
      <c r="A46" s="153" t="s">
        <v>0</v>
      </c>
      <c r="B46" s="153" t="s">
        <v>0</v>
      </c>
    </row>
  </sheetData>
  <pageMargins left="0.7" right="0.7" top="0.75" bottom="0.75" header="0.3" footer="0.3"/>
  <customProperties>
    <customPr name="OrphanNamesChecke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C4DF4-008B-4639-B2C8-A33154A16B52}">
  <dimension ref="A1:R68"/>
  <sheetViews>
    <sheetView showGridLines="0" zoomScale="85" zoomScaleNormal="85" workbookViewId="0">
      <pane xSplit="6" ySplit="10" topLeftCell="G11" activePane="bottomRight" state="frozen"/>
      <selection pane="bottomRight" activeCell="G11" sqref="G11"/>
      <selection pane="bottomLeft" activeCell="A11" sqref="A11"/>
      <selection pane="topRight" activeCell="G1" sqref="G1"/>
    </sheetView>
  </sheetViews>
  <sheetFormatPr defaultRowHeight="12.75"/>
  <cols>
    <col min="1" max="2" width="2.7109375" style="3" customWidth="1"/>
    <col min="3" max="5" width="8.7109375" style="3" customWidth="1"/>
    <col min="6" max="6" width="2.7109375" style="3" customWidth="1"/>
    <col min="7" max="13" width="10.28515625" style="3" customWidth="1"/>
    <col min="14" max="14" width="2.7109375" style="3" customWidth="1"/>
    <col min="15" max="15" width="10.28515625" style="3" customWidth="1"/>
    <col min="16" max="17" width="9.140625" style="3"/>
    <col min="18" max="18" width="10.7109375" style="3" customWidth="1"/>
    <col min="19" max="16384" width="9.140625" style="3"/>
  </cols>
  <sheetData>
    <row r="1" spans="1:18">
      <c r="C1" s="9" t="s">
        <v>41</v>
      </c>
      <c r="D1" s="1"/>
      <c r="E1" s="2"/>
    </row>
    <row r="2" spans="1:18">
      <c r="C2" s="10" t="s">
        <v>42</v>
      </c>
      <c r="D2" s="4"/>
      <c r="E2" s="5"/>
      <c r="G2" s="104">
        <v>44196</v>
      </c>
      <c r="H2" s="105">
        <f>++EOMONTH(G2,12)</f>
        <v>44561</v>
      </c>
      <c r="I2" s="105">
        <f t="shared" ref="I2:K2" si="0">++EOMONTH(H2,12)</f>
        <v>44926</v>
      </c>
      <c r="J2" s="105">
        <f t="shared" si="0"/>
        <v>45291</v>
      </c>
      <c r="K2" s="105">
        <f t="shared" si="0"/>
        <v>45657</v>
      </c>
      <c r="L2" s="104">
        <v>45930</v>
      </c>
      <c r="M2" s="105">
        <f>++EOMONTH(K2,12)</f>
        <v>46022</v>
      </c>
      <c r="R2" s="105">
        <f>++EOMONTH(L2,-12)</f>
        <v>45565</v>
      </c>
    </row>
    <row r="3" spans="1:18">
      <c r="C3" s="8" t="str">
        <f ca="1">++TEXT(TODAY(),"MMMM D, YYYY")</f>
        <v>April 24, 2026</v>
      </c>
      <c r="D3" s="6"/>
      <c r="E3" s="7"/>
    </row>
    <row r="5" spans="1:18">
      <c r="A5" s="153" t="s">
        <v>0</v>
      </c>
      <c r="B5" s="153" t="s">
        <v>0</v>
      </c>
      <c r="C5" s="21" t="s">
        <v>43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</row>
    <row r="6" spans="1:18" ht="5.0999999999999996" customHeight="1"/>
    <row r="7" spans="1:18" ht="15">
      <c r="C7" s="11" t="s">
        <v>2</v>
      </c>
      <c r="G7" s="13" t="s">
        <v>44</v>
      </c>
      <c r="H7" s="13"/>
      <c r="I7" s="13"/>
      <c r="J7" s="13"/>
      <c r="K7" s="13"/>
      <c r="L7" s="13"/>
      <c r="M7" s="13"/>
      <c r="O7" s="106" t="s">
        <v>45</v>
      </c>
    </row>
    <row r="8" spans="1:18" ht="5.0999999999999996" customHeight="1"/>
    <row r="9" spans="1:18" ht="15">
      <c r="C9" s="11" t="s">
        <v>23</v>
      </c>
      <c r="G9" s="29" t="str">
        <f>++"FY'"&amp;RIGHT(YEAR(G$2),2)&amp;"A"</f>
        <v>FY'20A</v>
      </c>
      <c r="H9" s="29" t="str">
        <f t="shared" ref="H9:K9" si="1">++"FY'"&amp;RIGHT(YEAR(H$2),2)&amp;"A"</f>
        <v>FY'21A</v>
      </c>
      <c r="I9" s="29" t="str">
        <f t="shared" si="1"/>
        <v>FY'22A</v>
      </c>
      <c r="J9" s="29" t="str">
        <f t="shared" si="1"/>
        <v>FY'23A</v>
      </c>
      <c r="K9" s="29" t="str">
        <f t="shared" si="1"/>
        <v>FY'24A</v>
      </c>
      <c r="L9" s="107" t="str">
        <f>++"LTM "&amp;TEXT(L$2,"M/YY")&amp;"A"</f>
        <v>LTM 9/25A</v>
      </c>
      <c r="M9" s="29" t="str">
        <f>++"FY'"&amp;RIGHT(YEAR(M$2),2)&amp;"E"</f>
        <v>FY'25E</v>
      </c>
      <c r="O9" s="107" t="str">
        <f>++RIGHT(G9,4)&amp;" - LTM"</f>
        <v>'20A - LTM</v>
      </c>
      <c r="R9" s="29" t="str">
        <f>++"LTM "&amp;TEXT(R$2,"M/YY")&amp;"A"</f>
        <v>LTM 9/24A</v>
      </c>
    </row>
    <row r="10" spans="1:18" ht="5.0999999999999996" customHeight="1">
      <c r="L10" s="108"/>
      <c r="O10" s="108"/>
    </row>
    <row r="11" spans="1:18">
      <c r="A11" s="153" t="s">
        <v>0</v>
      </c>
      <c r="B11" s="153" t="s">
        <v>0</v>
      </c>
      <c r="C11" s="37" t="s">
        <v>46</v>
      </c>
      <c r="D11" s="38"/>
      <c r="E11" s="38"/>
      <c r="F11" s="38"/>
      <c r="G11" s="39">
        <v>0</v>
      </c>
      <c r="H11" s="39">
        <v>0</v>
      </c>
      <c r="I11" s="39">
        <v>0</v>
      </c>
      <c r="J11" s="39">
        <v>0</v>
      </c>
      <c r="K11" s="39">
        <v>0</v>
      </c>
      <c r="L11" s="124">
        <v>0</v>
      </c>
      <c r="M11" s="39">
        <v>0</v>
      </c>
      <c r="O11" s="125">
        <f t="shared" ref="O11" si="2">++IFERROR((L11/G11)^(1/YEARFRAC(G$2,L$2,1))-1,0)</f>
        <v>0</v>
      </c>
      <c r="R11" s="114">
        <v>0</v>
      </c>
    </row>
    <row r="12" spans="1:18">
      <c r="C12" s="30" t="s">
        <v>47</v>
      </c>
      <c r="G12" s="126"/>
      <c r="H12" s="115">
        <f>++IFERROR(H11/G11-1,0)</f>
        <v>0</v>
      </c>
      <c r="I12" s="115">
        <f t="shared" ref="I12:K12" si="3">++IFERROR(I11/H11-1,0)</f>
        <v>0</v>
      </c>
      <c r="J12" s="115">
        <f t="shared" si="3"/>
        <v>0</v>
      </c>
      <c r="K12" s="115">
        <f t="shared" si="3"/>
        <v>0</v>
      </c>
      <c r="L12" s="117">
        <f>++IFERROR(L11/R11-1,0)</f>
        <v>0</v>
      </c>
      <c r="M12" s="115">
        <f>++IFERROR(M11/K11-1,0)</f>
        <v>0</v>
      </c>
      <c r="O12" s="108"/>
    </row>
    <row r="13" spans="1:18" ht="5.0999999999999996" customHeight="1">
      <c r="L13" s="108"/>
      <c r="O13" s="108"/>
    </row>
    <row r="14" spans="1:18">
      <c r="C14" s="58" t="s">
        <v>48</v>
      </c>
      <c r="G14" s="113">
        <v>0</v>
      </c>
      <c r="H14" s="113">
        <v>0</v>
      </c>
      <c r="I14" s="113">
        <v>0</v>
      </c>
      <c r="J14" s="113">
        <v>0</v>
      </c>
      <c r="K14" s="113">
        <v>0</v>
      </c>
      <c r="L14" s="129">
        <v>0</v>
      </c>
      <c r="M14" s="113">
        <v>0</v>
      </c>
      <c r="O14" s="130">
        <f t="shared" ref="O14" si="4">++IFERROR((L14/G14)^(1/YEARFRAC(G$2,L$2,1))-1,0)</f>
        <v>0</v>
      </c>
      <c r="R14" s="114">
        <v>0</v>
      </c>
    </row>
    <row r="15" spans="1:18">
      <c r="C15" s="30" t="s">
        <v>49</v>
      </c>
      <c r="G15" s="115">
        <f>++IFERROR(G14/G$11,0)</f>
        <v>0</v>
      </c>
      <c r="H15" s="115">
        <f t="shared" ref="H15:M15" si="5">++IFERROR(H14/H$11,0)</f>
        <v>0</v>
      </c>
      <c r="I15" s="115">
        <f t="shared" si="5"/>
        <v>0</v>
      </c>
      <c r="J15" s="115">
        <f t="shared" si="5"/>
        <v>0</v>
      </c>
      <c r="K15" s="115">
        <f t="shared" si="5"/>
        <v>0</v>
      </c>
      <c r="L15" s="117">
        <f t="shared" si="5"/>
        <v>0</v>
      </c>
      <c r="M15" s="115">
        <f t="shared" si="5"/>
        <v>0</v>
      </c>
      <c r="O15" s="108"/>
      <c r="R15" s="115">
        <f>++IFERROR(R14/R$11,0)</f>
        <v>0</v>
      </c>
    </row>
    <row r="16" spans="1:18">
      <c r="C16" s="30" t="s">
        <v>47</v>
      </c>
      <c r="G16" s="126"/>
      <c r="H16" s="115">
        <f t="shared" ref="H16:I16" si="6">++IFERROR(H14/G14-1,0)</f>
        <v>0</v>
      </c>
      <c r="I16" s="115">
        <f t="shared" si="6"/>
        <v>0</v>
      </c>
      <c r="J16" s="115">
        <f>++IFERROR(J14/I14-1,0)</f>
        <v>0</v>
      </c>
      <c r="K16" s="115">
        <f>++IFERROR(K14/J14-1,0)</f>
        <v>0</v>
      </c>
      <c r="L16" s="117">
        <f>++IFERROR(L14/R14-1,0)</f>
        <v>0</v>
      </c>
      <c r="M16" s="115">
        <f>++IFERROR(M14/K14-1,0)</f>
        <v>0</v>
      </c>
      <c r="O16" s="108"/>
    </row>
    <row r="17" spans="3:18" ht="5.0999999999999996" customHeight="1">
      <c r="L17" s="108"/>
      <c r="O17" s="108"/>
    </row>
    <row r="18" spans="3:18">
      <c r="C18" s="58" t="s">
        <v>50</v>
      </c>
      <c r="G18" s="113">
        <v>0</v>
      </c>
      <c r="H18" s="113">
        <v>0</v>
      </c>
      <c r="I18" s="113">
        <v>0</v>
      </c>
      <c r="J18" s="113">
        <v>0</v>
      </c>
      <c r="K18" s="113">
        <v>0</v>
      </c>
      <c r="L18" s="129">
        <v>0</v>
      </c>
      <c r="M18" s="113">
        <v>0</v>
      </c>
      <c r="O18" s="130">
        <f t="shared" ref="O18" si="7">++IFERROR((L18/G18)^(1/YEARFRAC(G$2,L$2,1))-1,0)</f>
        <v>0</v>
      </c>
      <c r="R18" s="114">
        <v>0</v>
      </c>
    </row>
    <row r="19" spans="3:18">
      <c r="C19" s="30" t="s">
        <v>49</v>
      </c>
      <c r="G19" s="115">
        <f>++IFERROR(G18/G$11,0)</f>
        <v>0</v>
      </c>
      <c r="H19" s="115">
        <f t="shared" ref="H19:M19" si="8">++IFERROR(H18/H$11,0)</f>
        <v>0</v>
      </c>
      <c r="I19" s="115">
        <f t="shared" si="8"/>
        <v>0</v>
      </c>
      <c r="J19" s="115">
        <f t="shared" si="8"/>
        <v>0</v>
      </c>
      <c r="K19" s="115">
        <f t="shared" si="8"/>
        <v>0</v>
      </c>
      <c r="L19" s="117">
        <f t="shared" si="8"/>
        <v>0</v>
      </c>
      <c r="M19" s="115">
        <f t="shared" si="8"/>
        <v>0</v>
      </c>
      <c r="O19" s="108"/>
      <c r="R19" s="115">
        <f>++IFERROR(R18/R$11,0)</f>
        <v>0</v>
      </c>
    </row>
    <row r="20" spans="3:18">
      <c r="C20" s="30" t="s">
        <v>47</v>
      </c>
      <c r="G20" s="126"/>
      <c r="H20" s="115">
        <f t="shared" ref="H20:I20" si="9">++IFERROR(H18/G18-1,0)</f>
        <v>0</v>
      </c>
      <c r="I20" s="115">
        <f t="shared" si="9"/>
        <v>0</v>
      </c>
      <c r="J20" s="115">
        <f>++IFERROR(J18/I18-1,0)</f>
        <v>0</v>
      </c>
      <c r="K20" s="115">
        <f>++IFERROR(K18/J18-1,0)</f>
        <v>0</v>
      </c>
      <c r="L20" s="117">
        <f>++IFERROR(L18/R18-1,0)</f>
        <v>0</v>
      </c>
      <c r="M20" s="115">
        <f>++IFERROR(M18/K18-1,0)</f>
        <v>0</v>
      </c>
      <c r="O20" s="108"/>
    </row>
    <row r="21" spans="3:18" ht="5.0999999999999996" customHeight="1">
      <c r="L21" s="108"/>
      <c r="O21" s="108"/>
    </row>
    <row r="22" spans="3:18">
      <c r="C22" s="3" t="s">
        <v>51</v>
      </c>
      <c r="G22" s="17">
        <f t="shared" ref="G22:L22" si="10">++G23-G18</f>
        <v>0</v>
      </c>
      <c r="H22" s="17">
        <f t="shared" si="10"/>
        <v>0</v>
      </c>
      <c r="I22" s="17">
        <f t="shared" si="10"/>
        <v>0</v>
      </c>
      <c r="J22" s="17">
        <f t="shared" si="10"/>
        <v>0</v>
      </c>
      <c r="K22" s="17">
        <f t="shared" si="10"/>
        <v>0</v>
      </c>
      <c r="L22" s="119">
        <f t="shared" si="10"/>
        <v>0</v>
      </c>
      <c r="M22" s="17">
        <f>++M23-M18</f>
        <v>0</v>
      </c>
      <c r="O22" s="122">
        <f t="shared" ref="O22:O23" si="11">++IFERROR((L22/G22)^(1/YEARFRAC(G$2,L$2,1))-1,0)</f>
        <v>0</v>
      </c>
      <c r="R22" s="17">
        <f t="shared" ref="R22" si="12">++R23-R18</f>
        <v>0</v>
      </c>
    </row>
    <row r="23" spans="3:18" ht="13.5" thickBot="1">
      <c r="C23" s="22" t="s">
        <v>52</v>
      </c>
      <c r="D23" s="23"/>
      <c r="E23" s="23"/>
      <c r="F23" s="38"/>
      <c r="G23" s="41">
        <v>0</v>
      </c>
      <c r="H23" s="41">
        <v>0</v>
      </c>
      <c r="I23" s="41">
        <v>0</v>
      </c>
      <c r="J23" s="41">
        <v>0</v>
      </c>
      <c r="K23" s="41">
        <v>0</v>
      </c>
      <c r="L23" s="127">
        <v>0</v>
      </c>
      <c r="M23" s="41">
        <v>0</v>
      </c>
      <c r="O23" s="128">
        <f t="shared" si="11"/>
        <v>0</v>
      </c>
      <c r="R23" s="141">
        <v>0</v>
      </c>
    </row>
    <row r="24" spans="3:18" ht="13.5" thickTop="1">
      <c r="C24" s="30" t="s">
        <v>49</v>
      </c>
      <c r="G24" s="115">
        <f>++IFERROR(G23/G$11,0)</f>
        <v>0</v>
      </c>
      <c r="H24" s="115">
        <f t="shared" ref="H24:M24" si="13">++IFERROR(H23/H$11,0)</f>
        <v>0</v>
      </c>
      <c r="I24" s="115">
        <f t="shared" si="13"/>
        <v>0</v>
      </c>
      <c r="J24" s="115">
        <f t="shared" si="13"/>
        <v>0</v>
      </c>
      <c r="K24" s="115">
        <f t="shared" si="13"/>
        <v>0</v>
      </c>
      <c r="L24" s="117">
        <f t="shared" si="13"/>
        <v>0</v>
      </c>
      <c r="M24" s="115">
        <f t="shared" si="13"/>
        <v>0</v>
      </c>
      <c r="O24" s="108"/>
      <c r="R24" s="115">
        <f>++IFERROR(R23/R$11,0)</f>
        <v>0</v>
      </c>
    </row>
    <row r="25" spans="3:18">
      <c r="C25" s="30" t="s">
        <v>47</v>
      </c>
      <c r="G25" s="126"/>
      <c r="H25" s="115">
        <f>++IFERROR(H23/G23-1,0)</f>
        <v>0</v>
      </c>
      <c r="I25" s="115">
        <f>++IFERROR(I23/H23-1,0)</f>
        <v>0</v>
      </c>
      <c r="J25" s="115">
        <f>++IFERROR(J23/I23-1,0)</f>
        <v>0</v>
      </c>
      <c r="K25" s="115">
        <f>++IFERROR(K23/J23-1,0)</f>
        <v>0</v>
      </c>
      <c r="L25" s="117">
        <f>++IFERROR(L23/R23-1,0)</f>
        <v>0</v>
      </c>
      <c r="M25" s="115">
        <f>++IFERROR(M23/K23-1,0)</f>
        <v>0</v>
      </c>
      <c r="O25" s="108"/>
    </row>
    <row r="26" spans="3:18" ht="5.0999999999999996" customHeight="1">
      <c r="L26" s="108"/>
      <c r="O26" s="108"/>
    </row>
    <row r="27" spans="3:18">
      <c r="C27" s="3" t="s">
        <v>53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19">
        <v>0</v>
      </c>
      <c r="M27" s="17">
        <v>0</v>
      </c>
      <c r="O27" s="122">
        <f t="shared" ref="O27:O29" si="14">++IFERROR((L27/G27)^(1/YEARFRAC(G$2,L$2,1))-1,0)</f>
        <v>0</v>
      </c>
      <c r="R27" s="111">
        <v>0</v>
      </c>
    </row>
    <row r="28" spans="3:18">
      <c r="C28" s="18" t="s">
        <v>54</v>
      </c>
      <c r="D28" s="18"/>
      <c r="E28" s="18"/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20">
        <v>0</v>
      </c>
      <c r="M28" s="19">
        <v>0</v>
      </c>
      <c r="O28" s="123">
        <f t="shared" si="14"/>
        <v>0</v>
      </c>
      <c r="R28" s="112">
        <v>0</v>
      </c>
    </row>
    <row r="29" spans="3:18">
      <c r="C29" s="58" t="s">
        <v>55</v>
      </c>
      <c r="G29" s="113">
        <f>++SUM(G27:G28)</f>
        <v>0</v>
      </c>
      <c r="H29" s="113">
        <f t="shared" ref="H29:M29" si="15">++SUM(H27:H28)</f>
        <v>0</v>
      </c>
      <c r="I29" s="113">
        <f t="shared" si="15"/>
        <v>0</v>
      </c>
      <c r="J29" s="113">
        <f t="shared" si="15"/>
        <v>0</v>
      </c>
      <c r="K29" s="113">
        <f t="shared" si="15"/>
        <v>0</v>
      </c>
      <c r="L29" s="129">
        <f t="shared" si="15"/>
        <v>0</v>
      </c>
      <c r="M29" s="113">
        <f t="shared" si="15"/>
        <v>0</v>
      </c>
      <c r="O29" s="130">
        <f t="shared" si="14"/>
        <v>0</v>
      </c>
      <c r="R29" s="113">
        <f>++SUM(R27:R28)</f>
        <v>0</v>
      </c>
    </row>
    <row r="30" spans="3:18">
      <c r="C30" s="30" t="s">
        <v>56</v>
      </c>
      <c r="G30" s="115">
        <f>++IFERROR(G29/G$11,0)</f>
        <v>0</v>
      </c>
      <c r="H30" s="115">
        <f t="shared" ref="H30:M30" si="16">++IFERROR(H29/H$11,0)</f>
        <v>0</v>
      </c>
      <c r="I30" s="115">
        <f t="shared" si="16"/>
        <v>0</v>
      </c>
      <c r="J30" s="115">
        <f t="shared" si="16"/>
        <v>0</v>
      </c>
      <c r="K30" s="115">
        <f t="shared" si="16"/>
        <v>0</v>
      </c>
      <c r="L30" s="117">
        <f t="shared" si="16"/>
        <v>0</v>
      </c>
      <c r="M30" s="115">
        <f t="shared" si="16"/>
        <v>0</v>
      </c>
      <c r="O30" s="108"/>
      <c r="R30" s="115">
        <f>++IFERROR(R29/R$11,0)</f>
        <v>0</v>
      </c>
    </row>
    <row r="31" spans="3:18" ht="5.0999999999999996" customHeight="1">
      <c r="L31" s="118"/>
      <c r="O31" s="118"/>
    </row>
    <row r="34" spans="1:15">
      <c r="A34" s="153"/>
      <c r="B34" s="153" t="s">
        <v>0</v>
      </c>
      <c r="C34" s="21" t="s">
        <v>57</v>
      </c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</row>
    <row r="35" spans="1:15" ht="5.0999999999999996" customHeight="1"/>
    <row r="36" spans="1:15" ht="5.0999999999999996" customHeight="1">
      <c r="L36" s="142"/>
    </row>
    <row r="37" spans="1:15" ht="15">
      <c r="C37" s="3" t="s">
        <v>58</v>
      </c>
      <c r="G37" s="17">
        <f t="shared" ref="G37:M37" si="17">++G2-EOMONTH(G2,-12)</f>
        <v>366</v>
      </c>
      <c r="H37" s="17">
        <f t="shared" si="17"/>
        <v>365</v>
      </c>
      <c r="I37" s="17">
        <f t="shared" si="17"/>
        <v>365</v>
      </c>
      <c r="J37" s="17">
        <f t="shared" si="17"/>
        <v>365</v>
      </c>
      <c r="K37" s="17">
        <f t="shared" si="17"/>
        <v>366</v>
      </c>
      <c r="L37" s="119">
        <f t="shared" si="17"/>
        <v>365</v>
      </c>
      <c r="M37" s="17">
        <f t="shared" si="17"/>
        <v>365</v>
      </c>
      <c r="O37" s="29" t="s">
        <v>59</v>
      </c>
    </row>
    <row r="38" spans="1:15">
      <c r="L38" s="108"/>
    </row>
    <row r="39" spans="1:15">
      <c r="C39" s="3" t="s">
        <v>60</v>
      </c>
      <c r="G39" s="16">
        <f>++G11</f>
        <v>0</v>
      </c>
      <c r="H39" s="16">
        <f t="shared" ref="H39:M39" si="18">++H11</f>
        <v>0</v>
      </c>
      <c r="I39" s="16">
        <f t="shared" si="18"/>
        <v>0</v>
      </c>
      <c r="J39" s="16">
        <f t="shared" si="18"/>
        <v>0</v>
      </c>
      <c r="K39" s="16">
        <f t="shared" si="18"/>
        <v>0</v>
      </c>
      <c r="L39" s="121">
        <f t="shared" si="18"/>
        <v>0</v>
      </c>
      <c r="M39" s="16">
        <f t="shared" si="18"/>
        <v>0</v>
      </c>
    </row>
    <row r="40" spans="1:15">
      <c r="C40" s="3" t="s">
        <v>61</v>
      </c>
      <c r="G40" s="16">
        <f t="shared" ref="G40:M40" si="19">++(G11-G14)</f>
        <v>0</v>
      </c>
      <c r="H40" s="16">
        <f t="shared" si="19"/>
        <v>0</v>
      </c>
      <c r="I40" s="16">
        <f t="shared" si="19"/>
        <v>0</v>
      </c>
      <c r="J40" s="16">
        <f t="shared" si="19"/>
        <v>0</v>
      </c>
      <c r="K40" s="16">
        <f t="shared" si="19"/>
        <v>0</v>
      </c>
      <c r="L40" s="121">
        <f t="shared" si="19"/>
        <v>0</v>
      </c>
      <c r="M40" s="16">
        <f t="shared" si="19"/>
        <v>0</v>
      </c>
    </row>
    <row r="41" spans="1:15">
      <c r="L41" s="108"/>
    </row>
    <row r="42" spans="1:15">
      <c r="C42" s="3" t="str">
        <f>++C27</f>
        <v>Maintenance</v>
      </c>
      <c r="G42" s="31">
        <f t="shared" ref="G42:M44" si="20">++IFERROR(G27/G$39,0)</f>
        <v>0</v>
      </c>
      <c r="H42" s="31">
        <f t="shared" si="20"/>
        <v>0</v>
      </c>
      <c r="I42" s="31">
        <f t="shared" si="20"/>
        <v>0</v>
      </c>
      <c r="J42" s="31">
        <f t="shared" si="20"/>
        <v>0</v>
      </c>
      <c r="K42" s="31">
        <f t="shared" si="20"/>
        <v>0</v>
      </c>
      <c r="L42" s="143">
        <f t="shared" si="20"/>
        <v>0</v>
      </c>
      <c r="M42" s="31">
        <f t="shared" si="20"/>
        <v>0</v>
      </c>
      <c r="O42" s="133">
        <f>++IFERROR(AVERAGEIF(G42:M42,"&lt;&gt;"&amp;0),0)</f>
        <v>0</v>
      </c>
    </row>
    <row r="43" spans="1:15">
      <c r="C43" s="18" t="str">
        <f t="shared" ref="C43:C44" si="21">++C28</f>
        <v>Growth</v>
      </c>
      <c r="D43" s="18"/>
      <c r="E43" s="18"/>
      <c r="G43" s="35">
        <f t="shared" si="20"/>
        <v>0</v>
      </c>
      <c r="H43" s="35">
        <f t="shared" si="20"/>
        <v>0</v>
      </c>
      <c r="I43" s="35">
        <f t="shared" si="20"/>
        <v>0</v>
      </c>
      <c r="J43" s="35">
        <f t="shared" si="20"/>
        <v>0</v>
      </c>
      <c r="K43" s="35">
        <f t="shared" si="20"/>
        <v>0</v>
      </c>
      <c r="L43" s="144">
        <f t="shared" si="20"/>
        <v>0</v>
      </c>
      <c r="M43" s="35">
        <f t="shared" si="20"/>
        <v>0</v>
      </c>
      <c r="O43" s="134">
        <f t="shared" ref="O43:O44" si="22">++IFERROR(AVERAGEIF(G43:M43,"&lt;&gt;"&amp;0),0)</f>
        <v>0</v>
      </c>
    </row>
    <row r="44" spans="1:15">
      <c r="C44" s="58" t="str">
        <f t="shared" si="21"/>
        <v>Capital Expenditures</v>
      </c>
      <c r="G44" s="99">
        <f t="shared" si="20"/>
        <v>0</v>
      </c>
      <c r="H44" s="99">
        <f t="shared" si="20"/>
        <v>0</v>
      </c>
      <c r="I44" s="99">
        <f t="shared" si="20"/>
        <v>0</v>
      </c>
      <c r="J44" s="99">
        <f t="shared" si="20"/>
        <v>0</v>
      </c>
      <c r="K44" s="99">
        <f t="shared" si="20"/>
        <v>0</v>
      </c>
      <c r="L44" s="145">
        <f t="shared" si="20"/>
        <v>0</v>
      </c>
      <c r="M44" s="99">
        <f t="shared" si="20"/>
        <v>0</v>
      </c>
      <c r="O44" s="135">
        <f t="shared" si="22"/>
        <v>0</v>
      </c>
    </row>
    <row r="45" spans="1:15">
      <c r="L45" s="108"/>
    </row>
    <row r="46" spans="1:15">
      <c r="C46" s="3" t="s">
        <v>62</v>
      </c>
      <c r="G46" s="109">
        <v>0</v>
      </c>
      <c r="H46" s="109">
        <v>0</v>
      </c>
      <c r="I46" s="109">
        <v>0</v>
      </c>
      <c r="J46" s="109">
        <v>0</v>
      </c>
      <c r="K46" s="109">
        <v>0</v>
      </c>
      <c r="L46" s="146">
        <v>0</v>
      </c>
      <c r="M46" s="109">
        <v>0</v>
      </c>
      <c r="O46" s="16"/>
    </row>
    <row r="47" spans="1:15">
      <c r="C47" s="3" t="s">
        <v>63</v>
      </c>
      <c r="G47" s="111">
        <v>0</v>
      </c>
      <c r="H47" s="111">
        <v>0</v>
      </c>
      <c r="I47" s="111">
        <v>0</v>
      </c>
      <c r="J47" s="111">
        <v>0</v>
      </c>
      <c r="K47" s="111">
        <v>0</v>
      </c>
      <c r="L47" s="147">
        <v>0</v>
      </c>
      <c r="M47" s="111">
        <v>0</v>
      </c>
      <c r="O47" s="17"/>
    </row>
    <row r="48" spans="1:15">
      <c r="C48" s="3" t="s">
        <v>64</v>
      </c>
      <c r="G48" s="111">
        <v>0</v>
      </c>
      <c r="H48" s="111">
        <v>0</v>
      </c>
      <c r="I48" s="111">
        <v>0</v>
      </c>
      <c r="J48" s="111">
        <v>0</v>
      </c>
      <c r="K48" s="111">
        <v>0</v>
      </c>
      <c r="L48" s="147">
        <v>0</v>
      </c>
      <c r="M48" s="111">
        <v>0</v>
      </c>
      <c r="O48" s="17"/>
    </row>
    <row r="49" spans="3:15">
      <c r="C49" s="18" t="s">
        <v>65</v>
      </c>
      <c r="D49" s="18"/>
      <c r="E49" s="18"/>
      <c r="G49" s="112">
        <v>0</v>
      </c>
      <c r="H49" s="112">
        <v>0</v>
      </c>
      <c r="I49" s="112">
        <v>0</v>
      </c>
      <c r="J49" s="112">
        <v>0</v>
      </c>
      <c r="K49" s="112">
        <v>0</v>
      </c>
      <c r="L49" s="148">
        <v>0</v>
      </c>
      <c r="M49" s="112">
        <v>0</v>
      </c>
      <c r="O49" s="19"/>
    </row>
    <row r="50" spans="3:15">
      <c r="C50" s="58" t="s">
        <v>66</v>
      </c>
      <c r="G50" s="113">
        <f>++SUM(G46:G49)</f>
        <v>0</v>
      </c>
      <c r="H50" s="113">
        <f t="shared" ref="H50:M50" si="23">++SUM(H46:H49)</f>
        <v>0</v>
      </c>
      <c r="I50" s="113">
        <f t="shared" si="23"/>
        <v>0</v>
      </c>
      <c r="J50" s="113">
        <f t="shared" si="23"/>
        <v>0</v>
      </c>
      <c r="K50" s="113">
        <f t="shared" si="23"/>
        <v>0</v>
      </c>
      <c r="L50" s="129">
        <f t="shared" si="23"/>
        <v>0</v>
      </c>
      <c r="M50" s="113">
        <f t="shared" si="23"/>
        <v>0</v>
      </c>
      <c r="O50" s="113"/>
    </row>
    <row r="51" spans="3:15">
      <c r="L51" s="108"/>
    </row>
    <row r="52" spans="3:15">
      <c r="C52" s="3" t="s">
        <v>67</v>
      </c>
      <c r="G52" s="111">
        <v>0</v>
      </c>
      <c r="H52" s="111">
        <v>0</v>
      </c>
      <c r="I52" s="111">
        <v>0</v>
      </c>
      <c r="J52" s="111">
        <v>0</v>
      </c>
      <c r="K52" s="111">
        <v>0</v>
      </c>
      <c r="L52" s="147">
        <v>0</v>
      </c>
      <c r="M52" s="111">
        <v>0</v>
      </c>
      <c r="O52" s="16"/>
    </row>
    <row r="53" spans="3:15">
      <c r="C53" s="3" t="s">
        <v>68</v>
      </c>
      <c r="G53" s="111">
        <v>0</v>
      </c>
      <c r="H53" s="111">
        <v>0</v>
      </c>
      <c r="I53" s="111">
        <v>0</v>
      </c>
      <c r="J53" s="111">
        <v>0</v>
      </c>
      <c r="K53" s="111">
        <v>0</v>
      </c>
      <c r="L53" s="147">
        <v>0</v>
      </c>
      <c r="M53" s="111">
        <v>0</v>
      </c>
      <c r="O53" s="17"/>
    </row>
    <row r="54" spans="3:15">
      <c r="C54" s="3" t="s">
        <v>69</v>
      </c>
      <c r="G54" s="111">
        <v>0</v>
      </c>
      <c r="H54" s="111">
        <v>0</v>
      </c>
      <c r="I54" s="111">
        <v>0</v>
      </c>
      <c r="J54" s="111">
        <v>0</v>
      </c>
      <c r="K54" s="111">
        <v>0</v>
      </c>
      <c r="L54" s="147">
        <v>0</v>
      </c>
      <c r="M54" s="111">
        <v>0</v>
      </c>
      <c r="O54" s="17"/>
    </row>
    <row r="55" spans="3:15">
      <c r="C55" s="18" t="s">
        <v>70</v>
      </c>
      <c r="D55" s="18"/>
      <c r="E55" s="18"/>
      <c r="G55" s="112">
        <v>0</v>
      </c>
      <c r="H55" s="112">
        <v>0</v>
      </c>
      <c r="I55" s="112">
        <v>0</v>
      </c>
      <c r="J55" s="112">
        <v>0</v>
      </c>
      <c r="K55" s="112">
        <v>0</v>
      </c>
      <c r="L55" s="148">
        <v>0</v>
      </c>
      <c r="M55" s="112">
        <v>0</v>
      </c>
      <c r="O55" s="19"/>
    </row>
    <row r="56" spans="3:15">
      <c r="C56" s="58" t="s">
        <v>71</v>
      </c>
      <c r="G56" s="113">
        <f>++SUM(G52:G55)</f>
        <v>0</v>
      </c>
      <c r="H56" s="113">
        <f t="shared" ref="H56" si="24">++SUM(H52:H55)</f>
        <v>0</v>
      </c>
      <c r="I56" s="113">
        <f t="shared" ref="I56" si="25">++SUM(I52:I55)</f>
        <v>0</v>
      </c>
      <c r="J56" s="113">
        <f t="shared" ref="J56" si="26">++SUM(J52:J55)</f>
        <v>0</v>
      </c>
      <c r="K56" s="113">
        <f t="shared" ref="K56" si="27">++SUM(K52:K55)</f>
        <v>0</v>
      </c>
      <c r="L56" s="129">
        <f t="shared" ref="L56" si="28">++SUM(L52:L55)</f>
        <v>0</v>
      </c>
      <c r="M56" s="113">
        <f t="shared" ref="M56" si="29">++SUM(M52:M55)</f>
        <v>0</v>
      </c>
      <c r="O56" s="113"/>
    </row>
    <row r="57" spans="3:15">
      <c r="L57" s="108"/>
    </row>
    <row r="58" spans="3:15" ht="13.5" thickBot="1">
      <c r="C58" s="59" t="s">
        <v>72</v>
      </c>
      <c r="D58" s="56"/>
      <c r="E58" s="56"/>
      <c r="G58" s="57">
        <f>++G50-G56</f>
        <v>0</v>
      </c>
      <c r="H58" s="57">
        <f t="shared" ref="H58:M58" si="30">++H50-H56</f>
        <v>0</v>
      </c>
      <c r="I58" s="57">
        <f t="shared" si="30"/>
        <v>0</v>
      </c>
      <c r="J58" s="57">
        <f t="shared" si="30"/>
        <v>0</v>
      </c>
      <c r="K58" s="57">
        <f t="shared" si="30"/>
        <v>0</v>
      </c>
      <c r="L58" s="149">
        <f t="shared" si="30"/>
        <v>0</v>
      </c>
      <c r="M58" s="57">
        <f t="shared" si="30"/>
        <v>0</v>
      </c>
      <c r="O58" s="57"/>
    </row>
    <row r="59" spans="3:15" ht="13.5" thickTop="1">
      <c r="C59" s="30" t="s">
        <v>56</v>
      </c>
      <c r="G59" s="115">
        <f>++IFERROR(G58/G$39,0)</f>
        <v>0</v>
      </c>
      <c r="H59" s="115">
        <f t="shared" ref="H59:M59" si="31">++IFERROR(H58/H$39,0)</f>
        <v>0</v>
      </c>
      <c r="I59" s="115">
        <f t="shared" si="31"/>
        <v>0</v>
      </c>
      <c r="J59" s="115">
        <f t="shared" si="31"/>
        <v>0</v>
      </c>
      <c r="K59" s="115">
        <f t="shared" si="31"/>
        <v>0</v>
      </c>
      <c r="L59" s="117">
        <f t="shared" si="31"/>
        <v>0</v>
      </c>
      <c r="M59" s="115">
        <f t="shared" si="31"/>
        <v>0</v>
      </c>
      <c r="O59" s="136">
        <f>++IFERROR(AVERAGEIF(G59:M59,"&lt;&gt;"&amp;0),0)</f>
        <v>0</v>
      </c>
    </row>
    <row r="60" spans="3:15">
      <c r="L60" s="108"/>
    </row>
    <row r="61" spans="3:15">
      <c r="C61" s="3" t="s">
        <v>73</v>
      </c>
      <c r="G61" s="131" cm="1">
        <f t="array" ref="G61">++IFERROR(SUM(G46:G47,-G53:G54)/G$39*G$37,0)</f>
        <v>0</v>
      </c>
      <c r="H61" s="131" cm="1">
        <f t="array" ref="H61">++IFERROR(SUM(H46:H47,-H53:H54)/H$39*H$37,0)</f>
        <v>0</v>
      </c>
      <c r="I61" s="131" cm="1">
        <f t="array" ref="I61">++IFERROR(SUM(I46:I47,-I53:I54)/I$39*I$37,0)</f>
        <v>0</v>
      </c>
      <c r="J61" s="131" cm="1">
        <f t="array" ref="J61">++IFERROR(SUM(J46:J47,-J53:J54)/J$39*J$37,0)</f>
        <v>0</v>
      </c>
      <c r="K61" s="131" cm="1">
        <f t="array" ref="K61">++IFERROR(SUM(K46:K47,-K53:K54)/K$39*K$37,0)</f>
        <v>0</v>
      </c>
      <c r="L61" s="150" cm="1">
        <f t="array" ref="L61">++IFERROR(SUM(L46:L47,-L53:L54)/L$39*L$37,0)</f>
        <v>0</v>
      </c>
      <c r="M61" s="131" cm="1">
        <f t="array" ref="M61">++IFERROR(SUM(M46:M47,-M53:M54)/M$39*M$37,0)</f>
        <v>0</v>
      </c>
      <c r="O61" s="137">
        <f t="shared" ref="O61:O64" si="32">++IFERROR(AVERAGEIF(G61:M61,"&lt;&gt;"&amp;0),0)</f>
        <v>0</v>
      </c>
    </row>
    <row r="62" spans="3:15">
      <c r="C62" s="3" t="s">
        <v>74</v>
      </c>
      <c r="G62" s="131">
        <f>++IFERROR(G48/G$40*G$37,0)</f>
        <v>0</v>
      </c>
      <c r="H62" s="131">
        <f t="shared" ref="H62:M62" si="33">++IFERROR(H48/H$40*H$37,0)</f>
        <v>0</v>
      </c>
      <c r="I62" s="131">
        <f t="shared" si="33"/>
        <v>0</v>
      </c>
      <c r="J62" s="131">
        <f t="shared" si="33"/>
        <v>0</v>
      </c>
      <c r="K62" s="131">
        <f t="shared" si="33"/>
        <v>0</v>
      </c>
      <c r="L62" s="150">
        <f t="shared" si="33"/>
        <v>0</v>
      </c>
      <c r="M62" s="131">
        <f t="shared" si="33"/>
        <v>0</v>
      </c>
      <c r="O62" s="137">
        <f t="shared" si="32"/>
        <v>0</v>
      </c>
    </row>
    <row r="63" spans="3:15">
      <c r="C63" s="18" t="s">
        <v>75</v>
      </c>
      <c r="D63" s="18"/>
      <c r="E63" s="18"/>
      <c r="G63" s="132">
        <f>++IFERROR(-G52/G$40*G$37,0)</f>
        <v>0</v>
      </c>
      <c r="H63" s="132">
        <f t="shared" ref="H63:M63" si="34">++IFERROR(-H52/H$40*H$37,0)</f>
        <v>0</v>
      </c>
      <c r="I63" s="132">
        <f t="shared" si="34"/>
        <v>0</v>
      </c>
      <c r="J63" s="132">
        <f t="shared" si="34"/>
        <v>0</v>
      </c>
      <c r="K63" s="132">
        <f t="shared" si="34"/>
        <v>0</v>
      </c>
      <c r="L63" s="151">
        <f t="shared" si="34"/>
        <v>0</v>
      </c>
      <c r="M63" s="132">
        <f t="shared" si="34"/>
        <v>0</v>
      </c>
      <c r="O63" s="138">
        <f t="shared" si="32"/>
        <v>0</v>
      </c>
    </row>
    <row r="64" spans="3:15">
      <c r="C64" s="58" t="s">
        <v>76</v>
      </c>
      <c r="G64" s="140">
        <f>++SUM(G61:G63)</f>
        <v>0</v>
      </c>
      <c r="H64" s="140">
        <f t="shared" ref="H64:M64" si="35">++SUM(H61:H63)</f>
        <v>0</v>
      </c>
      <c r="I64" s="140">
        <f t="shared" si="35"/>
        <v>0</v>
      </c>
      <c r="J64" s="140">
        <f t="shared" si="35"/>
        <v>0</v>
      </c>
      <c r="K64" s="140">
        <f t="shared" si="35"/>
        <v>0</v>
      </c>
      <c r="L64" s="152">
        <f t="shared" si="35"/>
        <v>0</v>
      </c>
      <c r="M64" s="140">
        <f t="shared" si="35"/>
        <v>0</v>
      </c>
      <c r="O64" s="139">
        <f t="shared" si="32"/>
        <v>0</v>
      </c>
    </row>
    <row r="65" spans="1:12" ht="5.0999999999999996" customHeight="1">
      <c r="L65" s="118"/>
    </row>
    <row r="68" spans="1:12">
      <c r="A68" s="153" t="s">
        <v>0</v>
      </c>
      <c r="B68" s="153" t="s">
        <v>0</v>
      </c>
    </row>
  </sheetData>
  <pageMargins left="0.7" right="0.7" top="0.75" bottom="0.75" header="0.3" footer="0.3"/>
  <pageSetup orientation="portrait" verticalDpi="0" r:id="rId1"/>
  <customProperties>
    <customPr name="OrphanNamesChecke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5C37C-9FB2-4BFC-9E75-0DC7AFE2DDC3}">
  <dimension ref="A1:X49"/>
  <sheetViews>
    <sheetView showGridLines="0" zoomScale="85" zoomScaleNormal="85" workbookViewId="0">
      <pane xSplit="6" ySplit="10" topLeftCell="G11" activePane="bottomRight" state="frozen"/>
      <selection pane="bottomRight" activeCell="G11" sqref="G11"/>
      <selection pane="bottomLeft" activeCell="A11" sqref="A11"/>
      <selection pane="topRight" activeCell="G1" sqref="G1"/>
    </sheetView>
  </sheetViews>
  <sheetFormatPr defaultRowHeight="12.75"/>
  <cols>
    <col min="1" max="2" width="2.7109375" style="3" customWidth="1"/>
    <col min="3" max="5" width="8.7109375" style="3" customWidth="1"/>
    <col min="6" max="6" width="2.7109375" style="3" customWidth="1"/>
    <col min="7" max="13" width="10.28515625" style="3" customWidth="1"/>
    <col min="14" max="14" width="2.7109375" style="3" customWidth="1"/>
    <col min="15" max="15" width="10.28515625" style="3" customWidth="1"/>
    <col min="16" max="16" width="2.7109375" style="3" customWidth="1"/>
    <col min="17" max="18" width="10.28515625" style="3" customWidth="1"/>
    <col min="19" max="20" width="9.140625" style="3"/>
    <col min="21" max="22" width="10.7109375" style="3" customWidth="1"/>
    <col min="23" max="16384" width="9.140625" style="3"/>
  </cols>
  <sheetData>
    <row r="1" spans="1:24">
      <c r="C1" s="9" t="str">
        <f>++FinSum!$C$1</f>
        <v>[Company Name]</v>
      </c>
      <c r="D1" s="1"/>
      <c r="E1" s="2"/>
    </row>
    <row r="2" spans="1:24">
      <c r="C2" s="10" t="str">
        <f>++FinSum!$C$2</f>
        <v>Posting Memo Backup</v>
      </c>
      <c r="D2" s="4"/>
      <c r="E2" s="5"/>
      <c r="G2" s="104">
        <v>43830</v>
      </c>
      <c r="H2" s="105">
        <f>++EOMONTH(G2,12)</f>
        <v>44196</v>
      </c>
      <c r="I2" s="105">
        <f t="shared" ref="I2:K2" si="0">++EOMONTH(H2,12)</f>
        <v>44561</v>
      </c>
      <c r="J2" s="105">
        <f t="shared" si="0"/>
        <v>44926</v>
      </c>
      <c r="K2" s="105">
        <f t="shared" si="0"/>
        <v>45291</v>
      </c>
      <c r="L2" s="104">
        <v>45565</v>
      </c>
      <c r="M2" s="105">
        <f>++EOMONTH(K2,12)</f>
        <v>45657</v>
      </c>
      <c r="Q2" s="105">
        <f>++EOMONTH(R2,-12)</f>
        <v>45199</v>
      </c>
      <c r="R2" s="105">
        <f>++L2</f>
        <v>45565</v>
      </c>
      <c r="U2" s="105">
        <f>++EOMONTH(L2,-12)</f>
        <v>45199</v>
      </c>
      <c r="V2" s="105">
        <f>++EOMONTH(Q2,-12)</f>
        <v>44834</v>
      </c>
    </row>
    <row r="3" spans="1:24">
      <c r="C3" s="8" t="str">
        <f ca="1">++TEXT(TODAY(),"MMMM D, YYYY")</f>
        <v>April 24, 2026</v>
      </c>
      <c r="D3" s="6"/>
      <c r="E3" s="7"/>
    </row>
    <row r="5" spans="1:24">
      <c r="A5" s="101" t="s">
        <v>0</v>
      </c>
      <c r="B5" s="101" t="s">
        <v>0</v>
      </c>
      <c r="C5" s="21" t="s">
        <v>43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24" ht="5.0999999999999996" customHeight="1"/>
    <row r="7" spans="1:24" ht="15">
      <c r="C7" s="11" t="s">
        <v>2</v>
      </c>
      <c r="G7" s="13" t="s">
        <v>44</v>
      </c>
      <c r="H7" s="13"/>
      <c r="I7" s="13"/>
      <c r="J7" s="13"/>
      <c r="K7" s="13"/>
      <c r="L7" s="13"/>
      <c r="M7" s="13"/>
      <c r="O7" s="106" t="s">
        <v>45</v>
      </c>
      <c r="Q7" s="13" t="s">
        <v>77</v>
      </c>
      <c r="R7" s="13"/>
    </row>
    <row r="8" spans="1:24" ht="5.0999999999999996" customHeight="1"/>
    <row r="9" spans="1:24" ht="15">
      <c r="C9" s="11" t="s">
        <v>23</v>
      </c>
      <c r="G9" s="29" t="str">
        <f>++"FY'"&amp;RIGHT(YEAR(G$2),2)&amp;"A"</f>
        <v>FY'19A</v>
      </c>
      <c r="H9" s="29" t="str">
        <f t="shared" ref="H9:K9" si="1">++"FY'"&amp;RIGHT(YEAR(H$2),2)&amp;"A"</f>
        <v>FY'20A</v>
      </c>
      <c r="I9" s="29" t="str">
        <f t="shared" si="1"/>
        <v>FY'21A</v>
      </c>
      <c r="J9" s="29" t="str">
        <f t="shared" si="1"/>
        <v>FY'22A</v>
      </c>
      <c r="K9" s="29" t="str">
        <f t="shared" si="1"/>
        <v>FY'23A</v>
      </c>
      <c r="L9" s="107" t="str">
        <f>++"LTM "&amp;TEXT(L$2,"M/YY")&amp;"A"</f>
        <v>LTM 9/24A</v>
      </c>
      <c r="M9" s="29" t="str">
        <f>++"FY'"&amp;RIGHT(YEAR(M$2),2)&amp;"E"</f>
        <v>FY'24E</v>
      </c>
      <c r="O9" s="107" t="str">
        <f>++RIGHT(G9,4)&amp;" - LTM"</f>
        <v>'19A - LTM</v>
      </c>
      <c r="Q9" s="29" t="str">
        <f>++TEXT(Q$2,"M/YY")&amp;"A"</f>
        <v>9/23A</v>
      </c>
      <c r="R9" s="107" t="str">
        <f t="shared" ref="R9" si="2">++TEXT(R$2,"M/YY")&amp;"A"</f>
        <v>9/24A</v>
      </c>
      <c r="U9" s="29" t="str">
        <f>++"LTM "&amp;TEXT(U$2,"M/YY")&amp;"A"</f>
        <v>LTM 9/23A</v>
      </c>
      <c r="V9" s="29" t="str">
        <f>++TEXT(V$2,"M/YY")&amp;"A"</f>
        <v>9/22A</v>
      </c>
    </row>
    <row r="10" spans="1:24" ht="5.0999999999999996" customHeight="1">
      <c r="L10" s="108"/>
      <c r="O10" s="108"/>
      <c r="R10" s="108"/>
    </row>
    <row r="11" spans="1:24">
      <c r="A11" s="101" t="s">
        <v>0</v>
      </c>
      <c r="B11" s="101" t="s">
        <v>0</v>
      </c>
      <c r="C11" s="3" t="s">
        <v>78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21">
        <v>0</v>
      </c>
      <c r="M11" s="16">
        <v>0</v>
      </c>
      <c r="O11" s="122">
        <f>++IFERROR((L11/G11)^(1/YEARFRAC(G$2,L$2,1))-1,0)</f>
        <v>0</v>
      </c>
      <c r="Q11" s="16">
        <v>0</v>
      </c>
      <c r="R11" s="121">
        <v>0</v>
      </c>
      <c r="U11" s="109">
        <v>0</v>
      </c>
      <c r="V11" s="109">
        <v>0</v>
      </c>
      <c r="X11" s="110"/>
    </row>
    <row r="12" spans="1:24">
      <c r="C12" s="3" t="s">
        <v>78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19">
        <v>0</v>
      </c>
      <c r="M12" s="17">
        <v>0</v>
      </c>
      <c r="O12" s="122">
        <f t="shared" ref="O12:O16" si="3">++IFERROR((L12/G12)^(1/YEARFRAC(G$2,L$2,1))-1,0)</f>
        <v>0</v>
      </c>
      <c r="Q12" s="17">
        <v>0</v>
      </c>
      <c r="R12" s="119">
        <v>0</v>
      </c>
      <c r="U12" s="111">
        <v>0</v>
      </c>
      <c r="V12" s="111">
        <v>0</v>
      </c>
      <c r="X12" s="110"/>
    </row>
    <row r="13" spans="1:24">
      <c r="C13" s="3" t="s">
        <v>78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19">
        <v>0</v>
      </c>
      <c r="M13" s="17">
        <v>0</v>
      </c>
      <c r="O13" s="122">
        <f t="shared" si="3"/>
        <v>0</v>
      </c>
      <c r="Q13" s="17">
        <v>0</v>
      </c>
      <c r="R13" s="119">
        <v>0</v>
      </c>
      <c r="U13" s="111">
        <v>0</v>
      </c>
      <c r="V13" s="111">
        <v>0</v>
      </c>
      <c r="X13" s="110"/>
    </row>
    <row r="14" spans="1:24">
      <c r="C14" s="3" t="s">
        <v>78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19">
        <v>0</v>
      </c>
      <c r="M14" s="17">
        <v>0</v>
      </c>
      <c r="O14" s="122">
        <f t="shared" si="3"/>
        <v>0</v>
      </c>
      <c r="Q14" s="17">
        <v>0</v>
      </c>
      <c r="R14" s="119">
        <v>0</v>
      </c>
      <c r="U14" s="111">
        <v>0</v>
      </c>
      <c r="V14" s="111">
        <v>0</v>
      </c>
      <c r="X14" s="110"/>
    </row>
    <row r="15" spans="1:24">
      <c r="C15" s="18" t="s">
        <v>79</v>
      </c>
      <c r="D15" s="18"/>
      <c r="E15" s="18"/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20">
        <v>0</v>
      </c>
      <c r="M15" s="19">
        <v>0</v>
      </c>
      <c r="O15" s="123">
        <f t="shared" si="3"/>
        <v>0</v>
      </c>
      <c r="Q15" s="19">
        <v>0</v>
      </c>
      <c r="R15" s="120">
        <v>0</v>
      </c>
      <c r="U15" s="112">
        <v>0</v>
      </c>
      <c r="V15" s="112">
        <v>0</v>
      </c>
      <c r="X15" s="110"/>
    </row>
    <row r="16" spans="1:24">
      <c r="C16" s="37" t="s">
        <v>46</v>
      </c>
      <c r="D16" s="38"/>
      <c r="E16" s="38"/>
      <c r="F16" s="38"/>
      <c r="G16" s="39">
        <f>++SUM(G11:G15)</f>
        <v>0</v>
      </c>
      <c r="H16" s="39">
        <f t="shared" ref="H16:M16" si="4">++SUM(H11:H15)</f>
        <v>0</v>
      </c>
      <c r="I16" s="39">
        <f t="shared" si="4"/>
        <v>0</v>
      </c>
      <c r="J16" s="39">
        <f t="shared" si="4"/>
        <v>0</v>
      </c>
      <c r="K16" s="39">
        <f t="shared" si="4"/>
        <v>0</v>
      </c>
      <c r="L16" s="124">
        <f t="shared" si="4"/>
        <v>0</v>
      </c>
      <c r="M16" s="39">
        <f t="shared" si="4"/>
        <v>0</v>
      </c>
      <c r="O16" s="125">
        <f t="shared" si="3"/>
        <v>0</v>
      </c>
      <c r="Q16" s="39">
        <f t="shared" ref="Q16:R16" si="5">++SUM(Q11:Q15)</f>
        <v>0</v>
      </c>
      <c r="R16" s="124">
        <f t="shared" si="5"/>
        <v>0</v>
      </c>
      <c r="U16" s="113">
        <f t="shared" ref="U16:V16" si="6">++SUM(U11:U15)</f>
        <v>0</v>
      </c>
      <c r="V16" s="113">
        <f t="shared" si="6"/>
        <v>0</v>
      </c>
    </row>
    <row r="17" spans="3:22">
      <c r="C17" s="30" t="s">
        <v>47</v>
      </c>
      <c r="G17" s="126"/>
      <c r="H17" s="115">
        <f>++IFERROR(H16/G16-1,0)</f>
        <v>0</v>
      </c>
      <c r="I17" s="115">
        <f t="shared" ref="I17:K17" si="7">++IFERROR(I16/H16-1,0)</f>
        <v>0</v>
      </c>
      <c r="J17" s="115">
        <f t="shared" si="7"/>
        <v>0</v>
      </c>
      <c r="K17" s="115">
        <f t="shared" si="7"/>
        <v>0</v>
      </c>
      <c r="L17" s="117">
        <f>++IFERROR(L16/U16-1,0)</f>
        <v>0</v>
      </c>
      <c r="M17" s="115">
        <f>++IFERROR(M16/K16-1,0)</f>
        <v>0</v>
      </c>
      <c r="O17" s="108"/>
      <c r="Q17" s="115">
        <f>++IFERROR(Q16/V16-1,0)</f>
        <v>0</v>
      </c>
      <c r="R17" s="117">
        <f t="shared" ref="R17" si="8">++IFERROR(R16/Q16-1,0)</f>
        <v>0</v>
      </c>
    </row>
    <row r="18" spans="3:22">
      <c r="L18" s="108"/>
      <c r="O18" s="108"/>
      <c r="R18" s="108"/>
    </row>
    <row r="19" spans="3:22">
      <c r="C19" s="3" t="s">
        <v>80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19">
        <v>0</v>
      </c>
      <c r="M19" s="17">
        <v>0</v>
      </c>
      <c r="O19" s="122">
        <f>++IFERROR((L19/G19)^(1/YEARFRAC(G$2,L$2,1))-1,0)</f>
        <v>0</v>
      </c>
      <c r="Q19" s="17">
        <v>0</v>
      </c>
      <c r="R19" s="119">
        <v>0</v>
      </c>
      <c r="U19" s="111">
        <v>0</v>
      </c>
      <c r="V19" s="111">
        <v>0</v>
      </c>
    </row>
    <row r="20" spans="3:22">
      <c r="C20" s="3" t="s">
        <v>80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19">
        <v>0</v>
      </c>
      <c r="M20" s="17">
        <v>0</v>
      </c>
      <c r="O20" s="122">
        <f t="shared" ref="O20:O24" si="9">++IFERROR((L20/G20)^(1/YEARFRAC(G$2,L$2,1))-1,0)</f>
        <v>0</v>
      </c>
      <c r="Q20" s="17">
        <v>0</v>
      </c>
      <c r="R20" s="119">
        <v>0</v>
      </c>
      <c r="U20" s="111">
        <v>0</v>
      </c>
      <c r="V20" s="111">
        <v>0</v>
      </c>
    </row>
    <row r="21" spans="3:22">
      <c r="C21" s="3" t="s">
        <v>80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19">
        <v>0</v>
      </c>
      <c r="M21" s="17">
        <v>0</v>
      </c>
      <c r="O21" s="122">
        <f t="shared" si="9"/>
        <v>0</v>
      </c>
      <c r="Q21" s="17">
        <v>0</v>
      </c>
      <c r="R21" s="119">
        <v>0</v>
      </c>
      <c r="U21" s="111">
        <v>0</v>
      </c>
      <c r="V21" s="111">
        <v>0</v>
      </c>
    </row>
    <row r="22" spans="3:22">
      <c r="C22" s="3" t="s">
        <v>80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19">
        <v>0</v>
      </c>
      <c r="M22" s="17">
        <v>0</v>
      </c>
      <c r="O22" s="122">
        <f t="shared" si="9"/>
        <v>0</v>
      </c>
      <c r="Q22" s="17">
        <v>0</v>
      </c>
      <c r="R22" s="119">
        <v>0</v>
      </c>
      <c r="U22" s="111">
        <v>0</v>
      </c>
      <c r="V22" s="111">
        <v>0</v>
      </c>
    </row>
    <row r="23" spans="3:22">
      <c r="C23" s="18" t="s">
        <v>81</v>
      </c>
      <c r="D23" s="18"/>
      <c r="E23" s="18"/>
      <c r="G23" s="19">
        <f>++(G16-G24)-SUM(G19:G22)</f>
        <v>0</v>
      </c>
      <c r="H23" s="19">
        <f t="shared" ref="H23:M23" si="10">++(H16-H24)-SUM(H19:H22)</f>
        <v>0</v>
      </c>
      <c r="I23" s="19">
        <f t="shared" si="10"/>
        <v>0</v>
      </c>
      <c r="J23" s="19">
        <f t="shared" si="10"/>
        <v>0</v>
      </c>
      <c r="K23" s="19">
        <f t="shared" si="10"/>
        <v>0</v>
      </c>
      <c r="L23" s="120">
        <f t="shared" si="10"/>
        <v>0</v>
      </c>
      <c r="M23" s="19">
        <f t="shared" si="10"/>
        <v>0</v>
      </c>
      <c r="O23" s="123">
        <f t="shared" si="9"/>
        <v>0</v>
      </c>
      <c r="Q23" s="19">
        <f t="shared" ref="Q23:R23" si="11">++(Q16-Q24)-SUM(Q19:Q22)</f>
        <v>0</v>
      </c>
      <c r="R23" s="120">
        <f t="shared" si="11"/>
        <v>0</v>
      </c>
      <c r="U23" s="19">
        <f t="shared" ref="U23" si="12">++(U16-U24)-SUM(U19:U22)</f>
        <v>0</v>
      </c>
      <c r="V23" s="19">
        <f t="shared" ref="V23" si="13">++(V16-V24)-SUM(V19:V22)</f>
        <v>0</v>
      </c>
    </row>
    <row r="24" spans="3:22">
      <c r="C24" s="37" t="s">
        <v>48</v>
      </c>
      <c r="D24" s="38"/>
      <c r="E24" s="38"/>
      <c r="F24" s="38"/>
      <c r="G24" s="39">
        <v>0</v>
      </c>
      <c r="H24" s="39">
        <v>0</v>
      </c>
      <c r="I24" s="39">
        <v>0</v>
      </c>
      <c r="J24" s="39">
        <v>0</v>
      </c>
      <c r="K24" s="39">
        <v>0</v>
      </c>
      <c r="L24" s="124">
        <v>0</v>
      </c>
      <c r="M24" s="39">
        <v>0</v>
      </c>
      <c r="O24" s="125">
        <f t="shared" si="9"/>
        <v>0</v>
      </c>
      <c r="Q24" s="39">
        <v>0</v>
      </c>
      <c r="R24" s="124">
        <v>0</v>
      </c>
      <c r="U24" s="114">
        <v>0</v>
      </c>
      <c r="V24" s="114">
        <v>0</v>
      </c>
    </row>
    <row r="25" spans="3:22">
      <c r="C25" s="30" t="s">
        <v>49</v>
      </c>
      <c r="G25" s="115">
        <f>++IFERROR(G24/G$16,0)</f>
        <v>0</v>
      </c>
      <c r="H25" s="115">
        <f t="shared" ref="H25:M25" si="14">++IFERROR(H24/H$16,0)</f>
        <v>0</v>
      </c>
      <c r="I25" s="115">
        <f t="shared" si="14"/>
        <v>0</v>
      </c>
      <c r="J25" s="115">
        <f t="shared" si="14"/>
        <v>0</v>
      </c>
      <c r="K25" s="115">
        <f t="shared" si="14"/>
        <v>0</v>
      </c>
      <c r="L25" s="117">
        <f t="shared" si="14"/>
        <v>0</v>
      </c>
      <c r="M25" s="115">
        <f t="shared" si="14"/>
        <v>0</v>
      </c>
      <c r="O25" s="108"/>
      <c r="Q25" s="115">
        <f>++IFERROR(Q24/Q$16,0)</f>
        <v>0</v>
      </c>
      <c r="R25" s="117">
        <f>++IFERROR(R24/R$16,0)</f>
        <v>0</v>
      </c>
      <c r="U25" s="115">
        <f>++IFERROR(U24/U$16,0)</f>
        <v>0</v>
      </c>
      <c r="V25" s="115">
        <f>++IFERROR(V24/V$16,0)</f>
        <v>0</v>
      </c>
    </row>
    <row r="26" spans="3:22">
      <c r="C26" s="30" t="s">
        <v>47</v>
      </c>
      <c r="G26" s="126"/>
      <c r="H26" s="115">
        <f t="shared" ref="H26:I26" si="15">++IFERROR(H24/G24-1,0)</f>
        <v>0</v>
      </c>
      <c r="I26" s="115">
        <f t="shared" si="15"/>
        <v>0</v>
      </c>
      <c r="J26" s="115">
        <f>++IFERROR(J24/I24-1,0)</f>
        <v>0</v>
      </c>
      <c r="K26" s="115">
        <f>++IFERROR(K24/J24-1,0)</f>
        <v>0</v>
      </c>
      <c r="L26" s="117">
        <f>++IFERROR(L24/U24-1,0)</f>
        <v>0</v>
      </c>
      <c r="M26" s="115">
        <f>++IFERROR(M24/K24-1,0)</f>
        <v>0</v>
      </c>
      <c r="O26" s="108"/>
      <c r="Q26" s="115">
        <f>++IFERROR(Q24/V24-1,0)</f>
        <v>0</v>
      </c>
      <c r="R26" s="117">
        <f>++IFERROR(R24/Q24-1,0)</f>
        <v>0</v>
      </c>
    </row>
    <row r="27" spans="3:22">
      <c r="L27" s="108"/>
      <c r="O27" s="108"/>
      <c r="R27" s="108"/>
    </row>
    <row r="28" spans="3:22">
      <c r="C28" s="3" t="s">
        <v>82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19">
        <v>0</v>
      </c>
      <c r="M28" s="17">
        <v>0</v>
      </c>
      <c r="O28" s="122">
        <f>++IFERROR((L28/G28)^(1/YEARFRAC(G$2,L$2,1))-1,0)</f>
        <v>0</v>
      </c>
      <c r="Q28" s="17">
        <v>0</v>
      </c>
      <c r="R28" s="119">
        <v>0</v>
      </c>
      <c r="U28" s="111">
        <v>0</v>
      </c>
      <c r="V28" s="111">
        <v>0</v>
      </c>
    </row>
    <row r="29" spans="3:22">
      <c r="C29" s="3" t="s">
        <v>82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19">
        <v>0</v>
      </c>
      <c r="M29" s="17">
        <v>0</v>
      </c>
      <c r="O29" s="122">
        <f t="shared" ref="O29:O33" si="16">++IFERROR((L29/G29)^(1/YEARFRAC(G$2,L$2,1))-1,0)</f>
        <v>0</v>
      </c>
      <c r="Q29" s="17">
        <v>0</v>
      </c>
      <c r="R29" s="119">
        <v>0</v>
      </c>
      <c r="U29" s="111">
        <v>0</v>
      </c>
      <c r="V29" s="111">
        <v>0</v>
      </c>
    </row>
    <row r="30" spans="3:22">
      <c r="C30" s="3" t="s">
        <v>82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19">
        <v>0</v>
      </c>
      <c r="M30" s="17">
        <v>0</v>
      </c>
      <c r="O30" s="122">
        <f t="shared" si="16"/>
        <v>0</v>
      </c>
      <c r="Q30" s="17">
        <v>0</v>
      </c>
      <c r="R30" s="119">
        <v>0</v>
      </c>
      <c r="U30" s="111">
        <v>0</v>
      </c>
      <c r="V30" s="111">
        <v>0</v>
      </c>
    </row>
    <row r="31" spans="3:22">
      <c r="C31" s="3" t="s">
        <v>82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19">
        <v>0</v>
      </c>
      <c r="M31" s="17">
        <v>0</v>
      </c>
      <c r="O31" s="122">
        <f t="shared" si="16"/>
        <v>0</v>
      </c>
      <c r="Q31" s="17">
        <v>0</v>
      </c>
      <c r="R31" s="119">
        <v>0</v>
      </c>
      <c r="U31" s="111">
        <v>0</v>
      </c>
      <c r="V31" s="111">
        <v>0</v>
      </c>
    </row>
    <row r="32" spans="3:22">
      <c r="C32" s="18" t="s">
        <v>83</v>
      </c>
      <c r="D32" s="18"/>
      <c r="E32" s="18"/>
      <c r="G32" s="19">
        <f>++(G24-G33)-SUM(G28:G31)</f>
        <v>0</v>
      </c>
      <c r="H32" s="19">
        <f t="shared" ref="H32:M32" si="17">++(H24-H33)-SUM(H28:H31)</f>
        <v>0</v>
      </c>
      <c r="I32" s="19">
        <f t="shared" si="17"/>
        <v>0</v>
      </c>
      <c r="J32" s="19">
        <f t="shared" si="17"/>
        <v>0</v>
      </c>
      <c r="K32" s="19">
        <f t="shared" si="17"/>
        <v>0</v>
      </c>
      <c r="L32" s="120">
        <f t="shared" si="17"/>
        <v>0</v>
      </c>
      <c r="M32" s="19">
        <f t="shared" si="17"/>
        <v>0</v>
      </c>
      <c r="O32" s="123">
        <f t="shared" si="16"/>
        <v>0</v>
      </c>
      <c r="Q32" s="19">
        <f t="shared" ref="Q32:R32" si="18">++(Q24-Q33)-SUM(Q28:Q31)</f>
        <v>0</v>
      </c>
      <c r="R32" s="120">
        <f t="shared" si="18"/>
        <v>0</v>
      </c>
      <c r="U32" s="19">
        <f t="shared" ref="U32" si="19">++(U24-U33)-SUM(U28:U31)</f>
        <v>0</v>
      </c>
      <c r="V32" s="19">
        <f t="shared" ref="V32" si="20">++(V24-V33)-SUM(V28:V31)</f>
        <v>0</v>
      </c>
    </row>
    <row r="33" spans="3:22">
      <c r="C33" s="37" t="s">
        <v>50</v>
      </c>
      <c r="D33" s="38"/>
      <c r="E33" s="38"/>
      <c r="F33" s="38"/>
      <c r="G33" s="39">
        <v>0</v>
      </c>
      <c r="H33" s="39">
        <v>0</v>
      </c>
      <c r="I33" s="39">
        <v>0</v>
      </c>
      <c r="J33" s="39">
        <v>0</v>
      </c>
      <c r="K33" s="39">
        <v>0</v>
      </c>
      <c r="L33" s="124">
        <v>0</v>
      </c>
      <c r="M33" s="39">
        <v>0</v>
      </c>
      <c r="O33" s="125">
        <f t="shared" si="16"/>
        <v>0</v>
      </c>
      <c r="Q33" s="39">
        <v>0</v>
      </c>
      <c r="R33" s="124">
        <v>0</v>
      </c>
      <c r="U33" s="114">
        <v>0</v>
      </c>
      <c r="V33" s="114">
        <v>0</v>
      </c>
    </row>
    <row r="34" spans="3:22">
      <c r="C34" s="30" t="s">
        <v>49</v>
      </c>
      <c r="G34" s="115">
        <f>++IFERROR(G33/G$16,0)</f>
        <v>0</v>
      </c>
      <c r="H34" s="115">
        <f t="shared" ref="H34:M34" si="21">++IFERROR(H33/H$16,0)</f>
        <v>0</v>
      </c>
      <c r="I34" s="115">
        <f t="shared" si="21"/>
        <v>0</v>
      </c>
      <c r="J34" s="115">
        <f t="shared" si="21"/>
        <v>0</v>
      </c>
      <c r="K34" s="115">
        <f t="shared" si="21"/>
        <v>0</v>
      </c>
      <c r="L34" s="117">
        <f t="shared" si="21"/>
        <v>0</v>
      </c>
      <c r="M34" s="115">
        <f t="shared" si="21"/>
        <v>0</v>
      </c>
      <c r="O34" s="108"/>
      <c r="Q34" s="115">
        <f>++IFERROR(Q33/Q$16,0)</f>
        <v>0</v>
      </c>
      <c r="R34" s="117">
        <f>++IFERROR(R33/R$16,0)</f>
        <v>0</v>
      </c>
      <c r="U34" s="115">
        <f>++IFERROR(U33/U$16,0)</f>
        <v>0</v>
      </c>
      <c r="V34" s="115">
        <f>++IFERROR(V33/V$16,0)</f>
        <v>0</v>
      </c>
    </row>
    <row r="35" spans="3:22">
      <c r="C35" s="30" t="s">
        <v>47</v>
      </c>
      <c r="G35" s="126"/>
      <c r="H35" s="115">
        <f t="shared" ref="H35:I35" si="22">++IFERROR(H33/G33-1,0)</f>
        <v>0</v>
      </c>
      <c r="I35" s="115">
        <f t="shared" si="22"/>
        <v>0</v>
      </c>
      <c r="J35" s="115">
        <f>++IFERROR(J33/I33-1,0)</f>
        <v>0</v>
      </c>
      <c r="K35" s="115">
        <f>++IFERROR(K33/J33-1,0)</f>
        <v>0</v>
      </c>
      <c r="L35" s="117">
        <f>++IFERROR(L33/U33-1,0)</f>
        <v>0</v>
      </c>
      <c r="M35" s="115">
        <f>++IFERROR(M33/K33-1,0)</f>
        <v>0</v>
      </c>
      <c r="O35" s="108"/>
      <c r="Q35" s="115">
        <f>++IFERROR(Q33/V33-1,0)</f>
        <v>0</v>
      </c>
      <c r="R35" s="117">
        <f>++IFERROR(R33/Q33-1,0)</f>
        <v>0</v>
      </c>
    </row>
    <row r="36" spans="3:22">
      <c r="L36" s="108"/>
      <c r="O36" s="108"/>
      <c r="R36" s="108"/>
    </row>
    <row r="37" spans="3:22">
      <c r="C37" s="3" t="s">
        <v>51</v>
      </c>
      <c r="G37" s="17">
        <f t="shared" ref="G37:L37" si="23">++G38-G33</f>
        <v>0</v>
      </c>
      <c r="H37" s="17">
        <f t="shared" si="23"/>
        <v>0</v>
      </c>
      <c r="I37" s="17">
        <f t="shared" si="23"/>
        <v>0</v>
      </c>
      <c r="J37" s="17">
        <f t="shared" si="23"/>
        <v>0</v>
      </c>
      <c r="K37" s="17">
        <f t="shared" si="23"/>
        <v>0</v>
      </c>
      <c r="L37" s="119">
        <f t="shared" si="23"/>
        <v>0</v>
      </c>
      <c r="M37" s="17">
        <f>++M38-M33</f>
        <v>0</v>
      </c>
      <c r="O37" s="122">
        <f t="shared" ref="O37:O38" si="24">++IFERROR((L37/G37)^(1/YEARFRAC(G$2,L$2,1))-1,0)</f>
        <v>0</v>
      </c>
      <c r="Q37" s="17">
        <f t="shared" ref="Q37" si="25">++Q38-Q33</f>
        <v>0</v>
      </c>
      <c r="R37" s="119">
        <f>++R38-R33</f>
        <v>0</v>
      </c>
      <c r="U37" s="17">
        <f t="shared" ref="U37" si="26">++U38-U33</f>
        <v>0</v>
      </c>
      <c r="V37" s="17">
        <f>++V38-V33</f>
        <v>0</v>
      </c>
    </row>
    <row r="38" spans="3:22" ht="13.5" thickBot="1">
      <c r="C38" s="22" t="s">
        <v>52</v>
      </c>
      <c r="D38" s="23"/>
      <c r="E38" s="23"/>
      <c r="F38" s="38"/>
      <c r="G38" s="41">
        <v>0</v>
      </c>
      <c r="H38" s="41">
        <v>0</v>
      </c>
      <c r="I38" s="41">
        <v>0</v>
      </c>
      <c r="J38" s="41">
        <v>0</v>
      </c>
      <c r="K38" s="41">
        <v>0</v>
      </c>
      <c r="L38" s="127">
        <v>0</v>
      </c>
      <c r="M38" s="41">
        <v>0</v>
      </c>
      <c r="O38" s="128">
        <f t="shared" si="24"/>
        <v>0</v>
      </c>
      <c r="Q38" s="41">
        <v>0</v>
      </c>
      <c r="R38" s="127">
        <v>0</v>
      </c>
      <c r="U38" s="116">
        <v>0</v>
      </c>
      <c r="V38" s="116">
        <v>0</v>
      </c>
    </row>
    <row r="39" spans="3:22" ht="13.5" thickTop="1">
      <c r="C39" s="30" t="s">
        <v>49</v>
      </c>
      <c r="G39" s="115">
        <f>++IFERROR(G38/G$16,0)</f>
        <v>0</v>
      </c>
      <c r="H39" s="115">
        <f t="shared" ref="H39:M39" si="27">++IFERROR(H38/H$16,0)</f>
        <v>0</v>
      </c>
      <c r="I39" s="115">
        <f t="shared" si="27"/>
        <v>0</v>
      </c>
      <c r="J39" s="115">
        <f t="shared" si="27"/>
        <v>0</v>
      </c>
      <c r="K39" s="115">
        <f t="shared" si="27"/>
        <v>0</v>
      </c>
      <c r="L39" s="117">
        <f t="shared" si="27"/>
        <v>0</v>
      </c>
      <c r="M39" s="115">
        <f t="shared" si="27"/>
        <v>0</v>
      </c>
      <c r="O39" s="108"/>
      <c r="Q39" s="115">
        <f>++IFERROR(Q38/Q$16,0)</f>
        <v>0</v>
      </c>
      <c r="R39" s="117">
        <f>++IFERROR(R38/R$16,0)</f>
        <v>0</v>
      </c>
      <c r="U39" s="115">
        <f>++IFERROR(U38/U$16,0)</f>
        <v>0</v>
      </c>
      <c r="V39" s="115">
        <f>++IFERROR(V38/V$16,0)</f>
        <v>0</v>
      </c>
    </row>
    <row r="40" spans="3:22">
      <c r="C40" s="30" t="s">
        <v>47</v>
      </c>
      <c r="G40" s="126"/>
      <c r="H40" s="115">
        <f>++IFERROR(H38/G38-1,0)</f>
        <v>0</v>
      </c>
      <c r="I40" s="115">
        <f>++IFERROR(I38/H38-1,0)</f>
        <v>0</v>
      </c>
      <c r="J40" s="115">
        <f>++IFERROR(J38/I38-1,0)</f>
        <v>0</v>
      </c>
      <c r="K40" s="115">
        <f>++IFERROR(K38/J38-1,0)</f>
        <v>0</v>
      </c>
      <c r="L40" s="117">
        <f>++IFERROR(L38/U38-1,0)</f>
        <v>0</v>
      </c>
      <c r="M40" s="115">
        <f>++IFERROR(M38/K38-1,0)</f>
        <v>0</v>
      </c>
      <c r="O40" s="108"/>
      <c r="Q40" s="115">
        <f>++IFERROR(Q38/V38-1,0)</f>
        <v>0</v>
      </c>
      <c r="R40" s="117">
        <f>++IFERROR(R38/Q38-1,0)</f>
        <v>0</v>
      </c>
    </row>
    <row r="41" spans="3:22">
      <c r="L41" s="108"/>
      <c r="O41" s="108"/>
      <c r="R41" s="108"/>
    </row>
    <row r="42" spans="3:22">
      <c r="C42" s="3" t="s">
        <v>53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19">
        <v>0</v>
      </c>
      <c r="M42" s="17">
        <v>0</v>
      </c>
      <c r="O42" s="122">
        <f t="shared" ref="O42:O43" si="28">++IFERROR((L42/G42)^(1/YEARFRAC(G$2,L$2,1))-1,0)</f>
        <v>0</v>
      </c>
      <c r="Q42" s="17">
        <v>0</v>
      </c>
      <c r="R42" s="119">
        <v>0</v>
      </c>
      <c r="U42" s="111">
        <v>0</v>
      </c>
      <c r="V42" s="111">
        <v>0</v>
      </c>
    </row>
    <row r="43" spans="3:22">
      <c r="C43" s="18" t="s">
        <v>54</v>
      </c>
      <c r="D43" s="18"/>
      <c r="E43" s="18"/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20">
        <v>0</v>
      </c>
      <c r="M43" s="19">
        <v>0</v>
      </c>
      <c r="O43" s="123">
        <f t="shared" si="28"/>
        <v>0</v>
      </c>
      <c r="Q43" s="19">
        <v>0</v>
      </c>
      <c r="R43" s="120">
        <v>0</v>
      </c>
      <c r="U43" s="112">
        <v>0</v>
      </c>
      <c r="V43" s="112">
        <v>0</v>
      </c>
    </row>
    <row r="44" spans="3:22">
      <c r="C44" s="58" t="s">
        <v>55</v>
      </c>
      <c r="G44" s="113">
        <f>++SUM(G42:G43)</f>
        <v>0</v>
      </c>
      <c r="H44" s="113">
        <f t="shared" ref="H44:M44" si="29">++SUM(H42:H43)</f>
        <v>0</v>
      </c>
      <c r="I44" s="113">
        <f t="shared" si="29"/>
        <v>0</v>
      </c>
      <c r="J44" s="113">
        <f t="shared" si="29"/>
        <v>0</v>
      </c>
      <c r="K44" s="113">
        <f t="shared" si="29"/>
        <v>0</v>
      </c>
      <c r="L44" s="129">
        <f t="shared" si="29"/>
        <v>0</v>
      </c>
      <c r="M44" s="113">
        <f t="shared" si="29"/>
        <v>0</v>
      </c>
      <c r="O44" s="130">
        <f t="shared" ref="O44" si="30">++IFERROR((L44/G44)^(1/YEARFRAC(G$2,L$2,1))-1,0)</f>
        <v>0</v>
      </c>
      <c r="Q44" s="113">
        <f t="shared" ref="Q44" si="31">++SUM(Q42:Q43)</f>
        <v>0</v>
      </c>
      <c r="R44" s="129">
        <f t="shared" ref="R44" si="32">++SUM(R42:R43)</f>
        <v>0</v>
      </c>
      <c r="U44" s="113">
        <f>++SUM(U42:U43)</f>
        <v>0</v>
      </c>
      <c r="V44" s="113">
        <f t="shared" ref="V44" si="33">++SUM(V42:V43)</f>
        <v>0</v>
      </c>
    </row>
    <row r="45" spans="3:22">
      <c r="C45" s="30" t="s">
        <v>56</v>
      </c>
      <c r="G45" s="115">
        <f>++IFERROR(G44/G$16,0)</f>
        <v>0</v>
      </c>
      <c r="H45" s="115">
        <f t="shared" ref="H45:M45" si="34">++IFERROR(H44/H$16,0)</f>
        <v>0</v>
      </c>
      <c r="I45" s="115">
        <f t="shared" si="34"/>
        <v>0</v>
      </c>
      <c r="J45" s="115">
        <f t="shared" si="34"/>
        <v>0</v>
      </c>
      <c r="K45" s="115">
        <f t="shared" si="34"/>
        <v>0</v>
      </c>
      <c r="L45" s="117">
        <f t="shared" si="34"/>
        <v>0</v>
      </c>
      <c r="M45" s="115">
        <f t="shared" si="34"/>
        <v>0</v>
      </c>
      <c r="O45" s="108"/>
      <c r="Q45" s="115">
        <f t="shared" ref="Q45:R45" si="35">++IFERROR(Q44/Q$16,0)</f>
        <v>0</v>
      </c>
      <c r="R45" s="117">
        <f t="shared" si="35"/>
        <v>0</v>
      </c>
      <c r="U45" s="115">
        <f t="shared" ref="U45:V45" si="36">++IFERROR(U44/U$16,0)</f>
        <v>0</v>
      </c>
      <c r="V45" s="115">
        <f t="shared" si="36"/>
        <v>0</v>
      </c>
    </row>
    <row r="46" spans="3:22" ht="5.0999999999999996" customHeight="1">
      <c r="L46" s="118"/>
      <c r="O46" s="118"/>
      <c r="R46" s="118"/>
    </row>
    <row r="49" spans="1:2">
      <c r="A49" s="101" t="s">
        <v>0</v>
      </c>
      <c r="B49" s="101" t="s">
        <v>0</v>
      </c>
    </row>
  </sheetData>
  <pageMargins left="0.7" right="0.7" top="0.75" bottom="0.75" header="0.3" footer="0.3"/>
  <customProperties>
    <customPr name="OrphanNamesChecke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D7A9F-C352-4B4A-A26F-394A13ED51B8}">
  <dimension ref="A1:AH97"/>
  <sheetViews>
    <sheetView showGridLines="0" zoomScale="85" zoomScaleNormal="85" workbookViewId="0">
      <pane xSplit="7" ySplit="8" topLeftCell="H9" activePane="bottomRight" state="frozen"/>
      <selection pane="bottomRight" activeCell="H9" sqref="H9"/>
      <selection pane="bottomLeft" activeCell="G11" sqref="G11"/>
      <selection pane="topRight" activeCell="G11" sqref="G11"/>
    </sheetView>
  </sheetViews>
  <sheetFormatPr defaultRowHeight="12.75"/>
  <cols>
    <col min="1" max="2" width="2.7109375" style="3" customWidth="1"/>
    <col min="3" max="5" width="12.7109375" style="3" customWidth="1"/>
    <col min="6" max="6" width="11.28515625" style="3" customWidth="1"/>
    <col min="7" max="7" width="2.7109375" style="3" customWidth="1"/>
    <col min="8" max="29" width="10.28515625" style="3" customWidth="1"/>
    <col min="30" max="16384" width="9.140625" style="3"/>
  </cols>
  <sheetData>
    <row r="1" spans="1:29">
      <c r="C1" s="9" t="str">
        <f>++FinSum!$C$1</f>
        <v>[Company Name]</v>
      </c>
      <c r="D1" s="1"/>
      <c r="E1" s="2"/>
    </row>
    <row r="2" spans="1:29">
      <c r="C2" s="10" t="str">
        <f>++FinSum!$C$2</f>
        <v>Posting Memo Backup</v>
      </c>
      <c r="D2" s="4"/>
      <c r="E2" s="5"/>
      <c r="H2" s="69">
        <f ca="1">++TODAY()</f>
        <v>46136</v>
      </c>
      <c r="I2" s="69">
        <v>45657</v>
      </c>
      <c r="J2" s="47">
        <f t="shared" ref="J2:AB2" si="0">++EOMONTH(I2,3)</f>
        <v>45747</v>
      </c>
      <c r="K2" s="47">
        <f t="shared" si="0"/>
        <v>45838</v>
      </c>
      <c r="L2" s="47">
        <f t="shared" si="0"/>
        <v>45930</v>
      </c>
      <c r="M2" s="47">
        <f t="shared" si="0"/>
        <v>46022</v>
      </c>
      <c r="N2" s="47">
        <f t="shared" si="0"/>
        <v>46112</v>
      </c>
      <c r="O2" s="47">
        <f t="shared" si="0"/>
        <v>46203</v>
      </c>
      <c r="P2" s="47">
        <f t="shared" si="0"/>
        <v>46295</v>
      </c>
      <c r="Q2" s="47">
        <f t="shared" si="0"/>
        <v>46387</v>
      </c>
      <c r="R2" s="47">
        <f t="shared" si="0"/>
        <v>46477</v>
      </c>
      <c r="S2" s="47">
        <f t="shared" si="0"/>
        <v>46568</v>
      </c>
      <c r="T2" s="47">
        <f t="shared" si="0"/>
        <v>46660</v>
      </c>
      <c r="U2" s="47">
        <f t="shared" si="0"/>
        <v>46752</v>
      </c>
      <c r="V2" s="47">
        <f t="shared" si="0"/>
        <v>46843</v>
      </c>
      <c r="W2" s="47">
        <f t="shared" si="0"/>
        <v>46934</v>
      </c>
      <c r="X2" s="47">
        <f t="shared" si="0"/>
        <v>47026</v>
      </c>
      <c r="Y2" s="47">
        <f t="shared" si="0"/>
        <v>47118</v>
      </c>
      <c r="Z2" s="47">
        <f t="shared" si="0"/>
        <v>47208</v>
      </c>
      <c r="AA2" s="47">
        <f t="shared" si="0"/>
        <v>47299</v>
      </c>
      <c r="AB2" s="47">
        <f t="shared" si="0"/>
        <v>47391</v>
      </c>
      <c r="AC2" s="69">
        <v>47422</v>
      </c>
    </row>
    <row r="3" spans="1:29">
      <c r="C3" s="8" t="str">
        <f ca="1">++TEXT(TODAY(),"MMMM D, YYYY")</f>
        <v>April 24, 2026</v>
      </c>
      <c r="D3" s="6"/>
      <c r="E3" s="7"/>
    </row>
    <row r="5" spans="1:29">
      <c r="A5" s="101" t="s">
        <v>0</v>
      </c>
      <c r="B5" s="101" t="s">
        <v>0</v>
      </c>
      <c r="C5" s="61" t="s">
        <v>84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</row>
    <row r="6" spans="1:29" ht="5.0999999999999996" customHeight="1">
      <c r="A6" s="60"/>
      <c r="B6" s="60"/>
    </row>
    <row r="7" spans="1:29" ht="15">
      <c r="A7" s="60"/>
      <c r="B7" s="60"/>
      <c r="C7" s="11" t="s">
        <v>85</v>
      </c>
      <c r="H7" s="29" t="str">
        <f ca="1">++TEXT(H$2,"M/D/YY")</f>
        <v>4/24/26</v>
      </c>
      <c r="I7" s="29" t="str">
        <f t="shared" ref="I7:AC7" si="1">++TEXT(I$2,"M/D/YY")</f>
        <v>12/31/24</v>
      </c>
      <c r="J7" s="29" t="str">
        <f t="shared" si="1"/>
        <v>3/31/25</v>
      </c>
      <c r="K7" s="29" t="str">
        <f t="shared" si="1"/>
        <v>6/30/25</v>
      </c>
      <c r="L7" s="29" t="str">
        <f t="shared" si="1"/>
        <v>9/30/25</v>
      </c>
      <c r="M7" s="29" t="str">
        <f t="shared" si="1"/>
        <v>12/31/25</v>
      </c>
      <c r="N7" s="29" t="str">
        <f t="shared" si="1"/>
        <v>3/31/26</v>
      </c>
      <c r="O7" s="29" t="str">
        <f t="shared" si="1"/>
        <v>6/30/26</v>
      </c>
      <c r="P7" s="29" t="str">
        <f t="shared" si="1"/>
        <v>9/30/26</v>
      </c>
      <c r="Q7" s="29" t="str">
        <f t="shared" si="1"/>
        <v>12/31/26</v>
      </c>
      <c r="R7" s="29" t="str">
        <f t="shared" si="1"/>
        <v>3/31/27</v>
      </c>
      <c r="S7" s="29" t="str">
        <f t="shared" si="1"/>
        <v>6/30/27</v>
      </c>
      <c r="T7" s="29" t="str">
        <f t="shared" si="1"/>
        <v>9/30/27</v>
      </c>
      <c r="U7" s="29" t="str">
        <f t="shared" si="1"/>
        <v>12/31/27</v>
      </c>
      <c r="V7" s="29" t="str">
        <f t="shared" si="1"/>
        <v>3/31/28</v>
      </c>
      <c r="W7" s="29" t="str">
        <f t="shared" si="1"/>
        <v>6/30/28</v>
      </c>
      <c r="X7" s="29" t="str">
        <f t="shared" si="1"/>
        <v>9/30/28</v>
      </c>
      <c r="Y7" s="29" t="str">
        <f t="shared" si="1"/>
        <v>12/31/28</v>
      </c>
      <c r="Z7" s="29" t="str">
        <f t="shared" si="1"/>
        <v>3/31/29</v>
      </c>
      <c r="AA7" s="29" t="str">
        <f t="shared" si="1"/>
        <v>6/30/29</v>
      </c>
      <c r="AB7" s="29" t="str">
        <f t="shared" si="1"/>
        <v>9/30/29</v>
      </c>
      <c r="AC7" s="29" t="str">
        <f t="shared" si="1"/>
        <v>10/31/29</v>
      </c>
    </row>
    <row r="8" spans="1:29" ht="5.0999999999999996" customHeight="1">
      <c r="A8" s="60"/>
      <c r="B8" s="60"/>
    </row>
    <row r="9" spans="1:29">
      <c r="A9" s="101" t="s">
        <v>0</v>
      </c>
      <c r="B9" s="101" t="s">
        <v>0</v>
      </c>
      <c r="C9" s="61" t="s">
        <v>86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spans="1:29" ht="5.0999999999999996" customHeight="1">
      <c r="A10" s="60"/>
      <c r="B10" s="60"/>
    </row>
    <row r="11" spans="1:29">
      <c r="A11" s="60"/>
      <c r="B11" s="60"/>
      <c r="C11" s="3" t="s">
        <v>87</v>
      </c>
      <c r="H11" s="67"/>
      <c r="I11" s="14">
        <f>++H13</f>
        <v>0</v>
      </c>
      <c r="J11" s="14">
        <f>++I13</f>
        <v>0</v>
      </c>
      <c r="K11" s="14">
        <f t="shared" ref="K11:AC11" si="2">++J13</f>
        <v>0</v>
      </c>
      <c r="L11" s="14">
        <f t="shared" si="2"/>
        <v>0</v>
      </c>
      <c r="M11" s="14">
        <f t="shared" si="2"/>
        <v>0</v>
      </c>
      <c r="N11" s="14">
        <f t="shared" si="2"/>
        <v>0</v>
      </c>
      <c r="O11" s="14">
        <f t="shared" si="2"/>
        <v>0</v>
      </c>
      <c r="P11" s="14">
        <f t="shared" si="2"/>
        <v>0</v>
      </c>
      <c r="Q11" s="14">
        <f t="shared" si="2"/>
        <v>0</v>
      </c>
      <c r="R11" s="14">
        <f t="shared" si="2"/>
        <v>0</v>
      </c>
      <c r="S11" s="14">
        <f t="shared" si="2"/>
        <v>0</v>
      </c>
      <c r="T11" s="14">
        <f t="shared" si="2"/>
        <v>0</v>
      </c>
      <c r="U11" s="14">
        <f t="shared" si="2"/>
        <v>0</v>
      </c>
      <c r="V11" s="14">
        <f t="shared" si="2"/>
        <v>0</v>
      </c>
      <c r="W11" s="14">
        <f t="shared" si="2"/>
        <v>0</v>
      </c>
      <c r="X11" s="14">
        <f t="shared" si="2"/>
        <v>0</v>
      </c>
      <c r="Y11" s="14">
        <f t="shared" si="2"/>
        <v>0</v>
      </c>
      <c r="Z11" s="14">
        <f t="shared" si="2"/>
        <v>0</v>
      </c>
      <c r="AA11" s="14">
        <f t="shared" si="2"/>
        <v>0</v>
      </c>
      <c r="AB11" s="14">
        <f t="shared" si="2"/>
        <v>0</v>
      </c>
      <c r="AC11" s="14">
        <f t="shared" si="2"/>
        <v>0</v>
      </c>
    </row>
    <row r="12" spans="1:29">
      <c r="A12" s="60"/>
      <c r="B12" s="60"/>
      <c r="C12" s="18" t="s">
        <v>88</v>
      </c>
      <c r="D12" s="18"/>
      <c r="E12" s="18"/>
      <c r="F12" s="71">
        <v>0.01</v>
      </c>
      <c r="H12" s="73"/>
      <c r="I12" s="73"/>
      <c r="J12" s="64">
        <f t="shared" ref="J12:AB12" si="3">++-$H13*$F12/4</f>
        <v>0</v>
      </c>
      <c r="K12" s="64">
        <f t="shared" si="3"/>
        <v>0</v>
      </c>
      <c r="L12" s="64">
        <f t="shared" si="3"/>
        <v>0</v>
      </c>
      <c r="M12" s="64">
        <f t="shared" si="3"/>
        <v>0</v>
      </c>
      <c r="N12" s="64">
        <f t="shared" si="3"/>
        <v>0</v>
      </c>
      <c r="O12" s="64">
        <f t="shared" si="3"/>
        <v>0</v>
      </c>
      <c r="P12" s="64">
        <f t="shared" si="3"/>
        <v>0</v>
      </c>
      <c r="Q12" s="64">
        <f t="shared" si="3"/>
        <v>0</v>
      </c>
      <c r="R12" s="64">
        <f t="shared" si="3"/>
        <v>0</v>
      </c>
      <c r="S12" s="64">
        <f t="shared" si="3"/>
        <v>0</v>
      </c>
      <c r="T12" s="64">
        <f t="shared" si="3"/>
        <v>0</v>
      </c>
      <c r="U12" s="64">
        <f t="shared" si="3"/>
        <v>0</v>
      </c>
      <c r="V12" s="64">
        <f t="shared" si="3"/>
        <v>0</v>
      </c>
      <c r="W12" s="64">
        <f t="shared" si="3"/>
        <v>0</v>
      </c>
      <c r="X12" s="64">
        <f t="shared" si="3"/>
        <v>0</v>
      </c>
      <c r="Y12" s="64">
        <f t="shared" si="3"/>
        <v>0</v>
      </c>
      <c r="Z12" s="64">
        <f t="shared" si="3"/>
        <v>0</v>
      </c>
      <c r="AA12" s="64">
        <f t="shared" si="3"/>
        <v>0</v>
      </c>
      <c r="AB12" s="64">
        <f t="shared" si="3"/>
        <v>0</v>
      </c>
      <c r="AC12" s="79">
        <f>++-AC11</f>
        <v>0</v>
      </c>
    </row>
    <row r="13" spans="1:29">
      <c r="A13" s="60"/>
      <c r="B13" s="60"/>
      <c r="C13" s="58" t="s">
        <v>89</v>
      </c>
      <c r="H13" s="82">
        <f>++SUCAP!F12</f>
        <v>0</v>
      </c>
      <c r="I13" s="72">
        <f>++SUM(I11:I12)</f>
        <v>0</v>
      </c>
      <c r="J13" s="72">
        <f t="shared" ref="J13:AB13" si="4">++SUM(J11:J12)</f>
        <v>0</v>
      </c>
      <c r="K13" s="72">
        <f t="shared" si="4"/>
        <v>0</v>
      </c>
      <c r="L13" s="72">
        <f t="shared" si="4"/>
        <v>0</v>
      </c>
      <c r="M13" s="72">
        <f t="shared" si="4"/>
        <v>0</v>
      </c>
      <c r="N13" s="72">
        <f t="shared" si="4"/>
        <v>0</v>
      </c>
      <c r="O13" s="72">
        <f t="shared" si="4"/>
        <v>0</v>
      </c>
      <c r="P13" s="72">
        <f t="shared" si="4"/>
        <v>0</v>
      </c>
      <c r="Q13" s="72">
        <f t="shared" si="4"/>
        <v>0</v>
      </c>
      <c r="R13" s="72">
        <f t="shared" si="4"/>
        <v>0</v>
      </c>
      <c r="S13" s="72">
        <f t="shared" si="4"/>
        <v>0</v>
      </c>
      <c r="T13" s="72">
        <f t="shared" si="4"/>
        <v>0</v>
      </c>
      <c r="U13" s="72">
        <f t="shared" si="4"/>
        <v>0</v>
      </c>
      <c r="V13" s="72">
        <f t="shared" si="4"/>
        <v>0</v>
      </c>
      <c r="W13" s="72">
        <f t="shared" si="4"/>
        <v>0</v>
      </c>
      <c r="X13" s="72">
        <f t="shared" si="4"/>
        <v>0</v>
      </c>
      <c r="Y13" s="72">
        <f t="shared" si="4"/>
        <v>0</v>
      </c>
      <c r="Z13" s="72">
        <f t="shared" si="4"/>
        <v>0</v>
      </c>
      <c r="AA13" s="72">
        <f t="shared" si="4"/>
        <v>0</v>
      </c>
      <c r="AB13" s="72">
        <f t="shared" si="4"/>
        <v>0</v>
      </c>
      <c r="AC13" s="72">
        <f t="shared" ref="AC13" si="5">++SUM(AC11:AC12)</f>
        <v>0</v>
      </c>
    </row>
    <row r="14" spans="1:29">
      <c r="A14" s="60"/>
      <c r="B14" s="60"/>
    </row>
    <row r="15" spans="1:29">
      <c r="A15" s="60"/>
      <c r="B15" s="60"/>
    </row>
    <row r="16" spans="1:29">
      <c r="A16" s="60"/>
      <c r="B16" s="60"/>
      <c r="C16" s="3" t="s">
        <v>90</v>
      </c>
      <c r="H16" s="54">
        <v>0</v>
      </c>
      <c r="I16" s="54">
        <v>0</v>
      </c>
      <c r="J16" s="54">
        <v>0</v>
      </c>
      <c r="K16" s="54">
        <v>0</v>
      </c>
      <c r="L16" s="54">
        <v>0</v>
      </c>
      <c r="M16" s="54">
        <v>0</v>
      </c>
      <c r="N16" s="54">
        <v>0</v>
      </c>
      <c r="O16" s="54">
        <v>0</v>
      </c>
      <c r="P16" s="54">
        <v>0</v>
      </c>
      <c r="Q16" s="54">
        <v>0</v>
      </c>
      <c r="R16" s="54">
        <v>0</v>
      </c>
      <c r="S16" s="54">
        <v>0</v>
      </c>
      <c r="T16" s="54">
        <v>0</v>
      </c>
      <c r="U16" s="54">
        <v>0</v>
      </c>
      <c r="V16" s="54">
        <v>0</v>
      </c>
      <c r="W16" s="54">
        <v>0</v>
      </c>
      <c r="X16" s="54">
        <v>0</v>
      </c>
      <c r="Y16" s="54">
        <v>0</v>
      </c>
      <c r="Z16" s="54">
        <v>0</v>
      </c>
      <c r="AA16" s="54">
        <v>0</v>
      </c>
      <c r="AB16" s="54">
        <v>0</v>
      </c>
      <c r="AC16" s="54">
        <v>0</v>
      </c>
    </row>
    <row r="17" spans="1:29">
      <c r="A17" s="60"/>
      <c r="B17" s="60"/>
      <c r="C17" s="3" t="s">
        <v>91</v>
      </c>
      <c r="F17" s="54">
        <v>0.01</v>
      </c>
      <c r="H17" s="77">
        <f>++$F17</f>
        <v>0.01</v>
      </c>
      <c r="I17" s="77">
        <f t="shared" ref="I17:AC17" si="6">++$F17</f>
        <v>0.01</v>
      </c>
      <c r="J17" s="77">
        <f t="shared" si="6"/>
        <v>0.01</v>
      </c>
      <c r="K17" s="77">
        <f t="shared" si="6"/>
        <v>0.01</v>
      </c>
      <c r="L17" s="77">
        <f t="shared" si="6"/>
        <v>0.01</v>
      </c>
      <c r="M17" s="77">
        <f t="shared" si="6"/>
        <v>0.01</v>
      </c>
      <c r="N17" s="77">
        <f t="shared" si="6"/>
        <v>0.01</v>
      </c>
      <c r="O17" s="77">
        <f t="shared" si="6"/>
        <v>0.01</v>
      </c>
      <c r="P17" s="77">
        <f t="shared" si="6"/>
        <v>0.01</v>
      </c>
      <c r="Q17" s="77">
        <f t="shared" si="6"/>
        <v>0.01</v>
      </c>
      <c r="R17" s="77">
        <f t="shared" si="6"/>
        <v>0.01</v>
      </c>
      <c r="S17" s="77">
        <f t="shared" si="6"/>
        <v>0.01</v>
      </c>
      <c r="T17" s="77">
        <f t="shared" si="6"/>
        <v>0.01</v>
      </c>
      <c r="U17" s="77">
        <f t="shared" si="6"/>
        <v>0.01</v>
      </c>
      <c r="V17" s="77">
        <f t="shared" si="6"/>
        <v>0.01</v>
      </c>
      <c r="W17" s="77">
        <f t="shared" si="6"/>
        <v>0.01</v>
      </c>
      <c r="X17" s="77">
        <f t="shared" si="6"/>
        <v>0.01</v>
      </c>
      <c r="Y17" s="77">
        <f t="shared" si="6"/>
        <v>0.01</v>
      </c>
      <c r="Z17" s="77">
        <f t="shared" si="6"/>
        <v>0.01</v>
      </c>
      <c r="AA17" s="77">
        <f t="shared" si="6"/>
        <v>0.01</v>
      </c>
      <c r="AB17" s="77">
        <f t="shared" si="6"/>
        <v>0.01</v>
      </c>
      <c r="AC17" s="77">
        <f t="shared" si="6"/>
        <v>0.01</v>
      </c>
    </row>
    <row r="18" spans="1:29">
      <c r="A18" s="60"/>
      <c r="B18" s="60"/>
      <c r="C18" s="18" t="s">
        <v>92</v>
      </c>
      <c r="D18" s="18"/>
      <c r="E18" s="18"/>
      <c r="F18" s="76">
        <v>5.5E-2</v>
      </c>
      <c r="H18" s="75">
        <f>++$F18</f>
        <v>5.5E-2</v>
      </c>
      <c r="I18" s="75">
        <f t="shared" ref="I18:AC18" si="7">++$F18</f>
        <v>5.5E-2</v>
      </c>
      <c r="J18" s="75">
        <f t="shared" si="7"/>
        <v>5.5E-2</v>
      </c>
      <c r="K18" s="75">
        <f t="shared" si="7"/>
        <v>5.5E-2</v>
      </c>
      <c r="L18" s="75">
        <f t="shared" si="7"/>
        <v>5.5E-2</v>
      </c>
      <c r="M18" s="75">
        <f t="shared" si="7"/>
        <v>5.5E-2</v>
      </c>
      <c r="N18" s="75">
        <f t="shared" si="7"/>
        <v>5.5E-2</v>
      </c>
      <c r="O18" s="75">
        <f t="shared" si="7"/>
        <v>5.5E-2</v>
      </c>
      <c r="P18" s="75">
        <f t="shared" si="7"/>
        <v>5.5E-2</v>
      </c>
      <c r="Q18" s="75">
        <f t="shared" si="7"/>
        <v>5.5E-2</v>
      </c>
      <c r="R18" s="75">
        <f t="shared" si="7"/>
        <v>5.5E-2</v>
      </c>
      <c r="S18" s="75">
        <f t="shared" si="7"/>
        <v>5.5E-2</v>
      </c>
      <c r="T18" s="75">
        <f t="shared" si="7"/>
        <v>5.5E-2</v>
      </c>
      <c r="U18" s="75">
        <f t="shared" si="7"/>
        <v>5.5E-2</v>
      </c>
      <c r="V18" s="75">
        <f t="shared" si="7"/>
        <v>5.5E-2</v>
      </c>
      <c r="W18" s="75">
        <f t="shared" si="7"/>
        <v>5.5E-2</v>
      </c>
      <c r="X18" s="75">
        <f t="shared" si="7"/>
        <v>5.5E-2</v>
      </c>
      <c r="Y18" s="75">
        <f t="shared" si="7"/>
        <v>5.5E-2</v>
      </c>
      <c r="Z18" s="75">
        <f t="shared" si="7"/>
        <v>5.5E-2</v>
      </c>
      <c r="AA18" s="75">
        <f t="shared" si="7"/>
        <v>5.5E-2</v>
      </c>
      <c r="AB18" s="75">
        <f t="shared" si="7"/>
        <v>5.5E-2</v>
      </c>
      <c r="AC18" s="75">
        <f t="shared" si="7"/>
        <v>5.5E-2</v>
      </c>
    </row>
    <row r="19" spans="1:29">
      <c r="A19" s="60"/>
      <c r="B19" s="60"/>
      <c r="C19" s="58" t="s">
        <v>93</v>
      </c>
      <c r="H19" s="74">
        <f>++SUM(MAX(H16:H17),H18)</f>
        <v>6.5000000000000002E-2</v>
      </c>
      <c r="I19" s="74">
        <f t="shared" ref="I19:AB19" si="8">++SUM(MAX(I16:I17),I18)</f>
        <v>6.5000000000000002E-2</v>
      </c>
      <c r="J19" s="74">
        <f t="shared" si="8"/>
        <v>6.5000000000000002E-2</v>
      </c>
      <c r="K19" s="74">
        <f t="shared" si="8"/>
        <v>6.5000000000000002E-2</v>
      </c>
      <c r="L19" s="74">
        <f t="shared" si="8"/>
        <v>6.5000000000000002E-2</v>
      </c>
      <c r="M19" s="74">
        <f t="shared" si="8"/>
        <v>6.5000000000000002E-2</v>
      </c>
      <c r="N19" s="74">
        <f t="shared" si="8"/>
        <v>6.5000000000000002E-2</v>
      </c>
      <c r="O19" s="74">
        <f t="shared" si="8"/>
        <v>6.5000000000000002E-2</v>
      </c>
      <c r="P19" s="74">
        <f t="shared" si="8"/>
        <v>6.5000000000000002E-2</v>
      </c>
      <c r="Q19" s="74">
        <f t="shared" si="8"/>
        <v>6.5000000000000002E-2</v>
      </c>
      <c r="R19" s="74">
        <f t="shared" si="8"/>
        <v>6.5000000000000002E-2</v>
      </c>
      <c r="S19" s="74">
        <f t="shared" si="8"/>
        <v>6.5000000000000002E-2</v>
      </c>
      <c r="T19" s="74">
        <f t="shared" si="8"/>
        <v>6.5000000000000002E-2</v>
      </c>
      <c r="U19" s="74">
        <f t="shared" si="8"/>
        <v>6.5000000000000002E-2</v>
      </c>
      <c r="V19" s="74">
        <f t="shared" si="8"/>
        <v>6.5000000000000002E-2</v>
      </c>
      <c r="W19" s="74">
        <f t="shared" si="8"/>
        <v>6.5000000000000002E-2</v>
      </c>
      <c r="X19" s="74">
        <f t="shared" si="8"/>
        <v>6.5000000000000002E-2</v>
      </c>
      <c r="Y19" s="74">
        <f t="shared" si="8"/>
        <v>6.5000000000000002E-2</v>
      </c>
      <c r="Z19" s="74">
        <f t="shared" si="8"/>
        <v>6.5000000000000002E-2</v>
      </c>
      <c r="AA19" s="74">
        <f t="shared" si="8"/>
        <v>6.5000000000000002E-2</v>
      </c>
      <c r="AB19" s="74">
        <f t="shared" si="8"/>
        <v>6.5000000000000002E-2</v>
      </c>
      <c r="AC19" s="74">
        <f t="shared" ref="AC19" si="9">++SUM(MAX(AC16:AC17),AC18)</f>
        <v>6.5000000000000002E-2</v>
      </c>
    </row>
    <row r="20" spans="1:29">
      <c r="A20" s="60"/>
      <c r="B20" s="60"/>
    </row>
    <row r="21" spans="1:29">
      <c r="A21" s="60"/>
      <c r="B21" s="60"/>
    </row>
    <row r="22" spans="1:29">
      <c r="A22" s="60"/>
      <c r="B22" s="60"/>
      <c r="C22" s="3" t="s">
        <v>94</v>
      </c>
      <c r="H22" s="14">
        <f>++-H13</f>
        <v>0</v>
      </c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</row>
    <row r="23" spans="1:29">
      <c r="A23" s="60"/>
      <c r="B23" s="60"/>
      <c r="C23" s="3" t="s">
        <v>95</v>
      </c>
      <c r="F23" s="71">
        <v>0.02</v>
      </c>
      <c r="H23" s="15">
        <f>++-H22*$F23</f>
        <v>0</v>
      </c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</row>
    <row r="24" spans="1:29">
      <c r="A24" s="60"/>
      <c r="B24" s="60"/>
      <c r="C24" s="3" t="s">
        <v>96</v>
      </c>
      <c r="H24" s="4"/>
      <c r="I24" s="17">
        <f t="shared" ref="I24:AC24" ca="1" si="10">++H13*YEARFRAC(H$2,I$2,2)*H19</f>
        <v>0</v>
      </c>
      <c r="J24" s="17">
        <f t="shared" si="10"/>
        <v>0</v>
      </c>
      <c r="K24" s="17">
        <f t="shared" si="10"/>
        <v>0</v>
      </c>
      <c r="L24" s="17">
        <f t="shared" si="10"/>
        <v>0</v>
      </c>
      <c r="M24" s="17">
        <f t="shared" si="10"/>
        <v>0</v>
      </c>
      <c r="N24" s="17">
        <f t="shared" si="10"/>
        <v>0</v>
      </c>
      <c r="O24" s="17">
        <f t="shared" si="10"/>
        <v>0</v>
      </c>
      <c r="P24" s="17">
        <f t="shared" si="10"/>
        <v>0</v>
      </c>
      <c r="Q24" s="17">
        <f t="shared" si="10"/>
        <v>0</v>
      </c>
      <c r="R24" s="17">
        <f t="shared" si="10"/>
        <v>0</v>
      </c>
      <c r="S24" s="17">
        <f t="shared" si="10"/>
        <v>0</v>
      </c>
      <c r="T24" s="17">
        <f t="shared" si="10"/>
        <v>0</v>
      </c>
      <c r="U24" s="17">
        <f t="shared" si="10"/>
        <v>0</v>
      </c>
      <c r="V24" s="17">
        <f t="shared" si="10"/>
        <v>0</v>
      </c>
      <c r="W24" s="17">
        <f t="shared" si="10"/>
        <v>0</v>
      </c>
      <c r="X24" s="17">
        <f t="shared" si="10"/>
        <v>0</v>
      </c>
      <c r="Y24" s="17">
        <f t="shared" si="10"/>
        <v>0</v>
      </c>
      <c r="Z24" s="17">
        <f t="shared" si="10"/>
        <v>0</v>
      </c>
      <c r="AA24" s="17">
        <f t="shared" si="10"/>
        <v>0</v>
      </c>
      <c r="AB24" s="17">
        <f t="shared" si="10"/>
        <v>0</v>
      </c>
      <c r="AC24" s="17">
        <f t="shared" si="10"/>
        <v>0</v>
      </c>
    </row>
    <row r="25" spans="1:29">
      <c r="A25" s="60"/>
      <c r="B25" s="60"/>
      <c r="C25" s="3" t="s">
        <v>97</v>
      </c>
      <c r="H25" s="4"/>
      <c r="I25" s="65"/>
      <c r="J25" s="17">
        <f t="shared" ref="J25:AB25" si="11">++-J12</f>
        <v>0</v>
      </c>
      <c r="K25" s="17">
        <f t="shared" si="11"/>
        <v>0</v>
      </c>
      <c r="L25" s="17">
        <f t="shared" si="11"/>
        <v>0</v>
      </c>
      <c r="M25" s="17">
        <f t="shared" si="11"/>
        <v>0</v>
      </c>
      <c r="N25" s="17">
        <f t="shared" si="11"/>
        <v>0</v>
      </c>
      <c r="O25" s="17">
        <f t="shared" si="11"/>
        <v>0</v>
      </c>
      <c r="P25" s="17">
        <f t="shared" si="11"/>
        <v>0</v>
      </c>
      <c r="Q25" s="17">
        <f t="shared" si="11"/>
        <v>0</v>
      </c>
      <c r="R25" s="17">
        <f t="shared" si="11"/>
        <v>0</v>
      </c>
      <c r="S25" s="17">
        <f t="shared" si="11"/>
        <v>0</v>
      </c>
      <c r="T25" s="17">
        <f t="shared" si="11"/>
        <v>0</v>
      </c>
      <c r="U25" s="17">
        <f t="shared" si="11"/>
        <v>0</v>
      </c>
      <c r="V25" s="17">
        <f t="shared" si="11"/>
        <v>0</v>
      </c>
      <c r="W25" s="17">
        <f t="shared" si="11"/>
        <v>0</v>
      </c>
      <c r="X25" s="17">
        <f t="shared" si="11"/>
        <v>0</v>
      </c>
      <c r="Y25" s="17">
        <f t="shared" si="11"/>
        <v>0</v>
      </c>
      <c r="Z25" s="17">
        <f t="shared" si="11"/>
        <v>0</v>
      </c>
      <c r="AA25" s="17">
        <f t="shared" si="11"/>
        <v>0</v>
      </c>
      <c r="AB25" s="17">
        <f t="shared" si="11"/>
        <v>0</v>
      </c>
      <c r="AC25" s="17">
        <f t="shared" ref="AC25" si="12">++-AC12</f>
        <v>0</v>
      </c>
    </row>
    <row r="26" spans="1:29" ht="13.5" thickBot="1">
      <c r="A26" s="60"/>
      <c r="B26" s="60"/>
      <c r="C26" s="59" t="s">
        <v>98</v>
      </c>
      <c r="D26" s="56"/>
      <c r="E26" s="56"/>
      <c r="F26" s="56"/>
      <c r="H26" s="57">
        <f>++SUM(H22:H25)</f>
        <v>0</v>
      </c>
      <c r="I26" s="57">
        <f t="shared" ref="I26:AB26" ca="1" si="13">++SUM(I22:I25)</f>
        <v>0</v>
      </c>
      <c r="J26" s="57">
        <f t="shared" si="13"/>
        <v>0</v>
      </c>
      <c r="K26" s="57">
        <f t="shared" si="13"/>
        <v>0</v>
      </c>
      <c r="L26" s="57">
        <f t="shared" si="13"/>
        <v>0</v>
      </c>
      <c r="M26" s="57">
        <f t="shared" si="13"/>
        <v>0</v>
      </c>
      <c r="N26" s="57">
        <f t="shared" si="13"/>
        <v>0</v>
      </c>
      <c r="O26" s="57">
        <f t="shared" si="13"/>
        <v>0</v>
      </c>
      <c r="P26" s="57">
        <f t="shared" si="13"/>
        <v>0</v>
      </c>
      <c r="Q26" s="57">
        <f t="shared" si="13"/>
        <v>0</v>
      </c>
      <c r="R26" s="57">
        <f t="shared" si="13"/>
        <v>0</v>
      </c>
      <c r="S26" s="57">
        <f t="shared" si="13"/>
        <v>0</v>
      </c>
      <c r="T26" s="57">
        <f t="shared" si="13"/>
        <v>0</v>
      </c>
      <c r="U26" s="57">
        <f t="shared" si="13"/>
        <v>0</v>
      </c>
      <c r="V26" s="57">
        <f t="shared" si="13"/>
        <v>0</v>
      </c>
      <c r="W26" s="57">
        <f t="shared" si="13"/>
        <v>0</v>
      </c>
      <c r="X26" s="57">
        <f t="shared" si="13"/>
        <v>0</v>
      </c>
      <c r="Y26" s="57">
        <f t="shared" si="13"/>
        <v>0</v>
      </c>
      <c r="Z26" s="57">
        <f t="shared" si="13"/>
        <v>0</v>
      </c>
      <c r="AA26" s="57">
        <f t="shared" si="13"/>
        <v>0</v>
      </c>
      <c r="AB26" s="57">
        <f t="shared" si="13"/>
        <v>0</v>
      </c>
      <c r="AC26" s="57">
        <f t="shared" ref="AC26" si="14">++SUM(AC22:AC25)</f>
        <v>0</v>
      </c>
    </row>
    <row r="27" spans="1:29" ht="13.5" thickTop="1">
      <c r="A27" s="60"/>
      <c r="B27" s="60"/>
    </row>
    <row r="28" spans="1:29">
      <c r="A28" s="60"/>
      <c r="B28" s="60"/>
      <c r="C28" s="58" t="s">
        <v>99</v>
      </c>
      <c r="F28" s="80">
        <f ca="1">++IFERROR(SUM(I26:AC26)/-H26,0)</f>
        <v>0</v>
      </c>
    </row>
    <row r="29" spans="1:29">
      <c r="A29" s="60"/>
      <c r="B29" s="60"/>
      <c r="C29" s="58" t="s">
        <v>100</v>
      </c>
      <c r="F29" s="81">
        <f ca="1">++IFERROR(XIRR(H26:AC26,$H$2:$AC$2),0)</f>
        <v>0</v>
      </c>
    </row>
    <row r="30" spans="1:29">
      <c r="A30" s="60"/>
      <c r="B30" s="60"/>
    </row>
    <row r="31" spans="1:29">
      <c r="A31" s="60"/>
      <c r="B31" s="60"/>
    </row>
    <row r="32" spans="1:29">
      <c r="A32" s="101"/>
      <c r="B32" s="101" t="s">
        <v>0</v>
      </c>
      <c r="C32" s="61" t="s">
        <v>101</v>
      </c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spans="1:29" ht="5.0999999999999996" customHeight="1">
      <c r="A33" s="60"/>
      <c r="B33" s="60"/>
    </row>
    <row r="34" spans="1:29">
      <c r="A34" s="60"/>
      <c r="B34" s="60"/>
      <c r="C34" s="3" t="s">
        <v>87</v>
      </c>
      <c r="H34" s="67"/>
      <c r="I34" s="14">
        <f>++H36</f>
        <v>0</v>
      </c>
      <c r="J34" s="14">
        <f>++I36</f>
        <v>0</v>
      </c>
      <c r="K34" s="14">
        <f t="shared" ref="K34:AC34" si="15">++J36</f>
        <v>0</v>
      </c>
      <c r="L34" s="14">
        <f t="shared" si="15"/>
        <v>0</v>
      </c>
      <c r="M34" s="14">
        <f t="shared" si="15"/>
        <v>0</v>
      </c>
      <c r="N34" s="14">
        <f t="shared" si="15"/>
        <v>0</v>
      </c>
      <c r="O34" s="14">
        <f t="shared" si="15"/>
        <v>0</v>
      </c>
      <c r="P34" s="14">
        <f t="shared" si="15"/>
        <v>0</v>
      </c>
      <c r="Q34" s="14">
        <f t="shared" si="15"/>
        <v>0</v>
      </c>
      <c r="R34" s="14">
        <f t="shared" si="15"/>
        <v>0</v>
      </c>
      <c r="S34" s="14">
        <f t="shared" si="15"/>
        <v>0</v>
      </c>
      <c r="T34" s="14">
        <f t="shared" si="15"/>
        <v>0</v>
      </c>
      <c r="U34" s="14">
        <f t="shared" si="15"/>
        <v>0</v>
      </c>
      <c r="V34" s="14">
        <f t="shared" si="15"/>
        <v>0</v>
      </c>
      <c r="W34" s="14">
        <f t="shared" si="15"/>
        <v>0</v>
      </c>
      <c r="X34" s="14">
        <f t="shared" si="15"/>
        <v>0</v>
      </c>
      <c r="Y34" s="14">
        <f t="shared" si="15"/>
        <v>0</v>
      </c>
      <c r="Z34" s="14">
        <f t="shared" si="15"/>
        <v>0</v>
      </c>
      <c r="AA34" s="14">
        <f t="shared" si="15"/>
        <v>0</v>
      </c>
      <c r="AB34" s="14">
        <f t="shared" si="15"/>
        <v>0</v>
      </c>
      <c r="AC34" s="14">
        <f t="shared" si="15"/>
        <v>0</v>
      </c>
    </row>
    <row r="35" spans="1:29">
      <c r="A35" s="60"/>
      <c r="B35" s="60"/>
      <c r="C35" s="18" t="s">
        <v>88</v>
      </c>
      <c r="D35" s="18"/>
      <c r="E35" s="18"/>
      <c r="F35" s="83">
        <f>++F$12</f>
        <v>0.01</v>
      </c>
      <c r="H35" s="73"/>
      <c r="I35" s="73"/>
      <c r="J35" s="64">
        <f t="shared" ref="J35" si="16">++-$H36*$F35/4</f>
        <v>0</v>
      </c>
      <c r="K35" s="64">
        <f t="shared" ref="K35" si="17">++-$H36*$F35/4</f>
        <v>0</v>
      </c>
      <c r="L35" s="64">
        <f t="shared" ref="L35" si="18">++-$H36*$F35/4</f>
        <v>0</v>
      </c>
      <c r="M35" s="64">
        <f t="shared" ref="M35" si="19">++-$H36*$F35/4</f>
        <v>0</v>
      </c>
      <c r="N35" s="64">
        <f t="shared" ref="N35" si="20">++-$H36*$F35/4</f>
        <v>0</v>
      </c>
      <c r="O35" s="64">
        <f t="shared" ref="O35" si="21">++-$H36*$F35/4</f>
        <v>0</v>
      </c>
      <c r="P35" s="64">
        <f t="shared" ref="P35" si="22">++-$H36*$F35/4</f>
        <v>0</v>
      </c>
      <c r="Q35" s="64">
        <f t="shared" ref="Q35" si="23">++-$H36*$F35/4</f>
        <v>0</v>
      </c>
      <c r="R35" s="64">
        <f t="shared" ref="R35" si="24">++-$H36*$F35/4</f>
        <v>0</v>
      </c>
      <c r="S35" s="64">
        <f t="shared" ref="S35" si="25">++-$H36*$F35/4</f>
        <v>0</v>
      </c>
      <c r="T35" s="64">
        <f t="shared" ref="T35" si="26">++-$H36*$F35/4</f>
        <v>0</v>
      </c>
      <c r="U35" s="64">
        <f t="shared" ref="U35" si="27">++-$H36*$F35/4</f>
        <v>0</v>
      </c>
      <c r="V35" s="64">
        <f t="shared" ref="V35" si="28">++-$H36*$F35/4</f>
        <v>0</v>
      </c>
      <c r="W35" s="64">
        <f t="shared" ref="W35" si="29">++-$H36*$F35/4</f>
        <v>0</v>
      </c>
      <c r="X35" s="64">
        <f t="shared" ref="X35" si="30">++-$H36*$F35/4</f>
        <v>0</v>
      </c>
      <c r="Y35" s="64">
        <f t="shared" ref="Y35" si="31">++-$H36*$F35/4</f>
        <v>0</v>
      </c>
      <c r="Z35" s="64">
        <f t="shared" ref="Z35" si="32">++-$H36*$F35/4</f>
        <v>0</v>
      </c>
      <c r="AA35" s="64">
        <f t="shared" ref="AA35" si="33">++-$H36*$F35/4</f>
        <v>0</v>
      </c>
      <c r="AB35" s="64">
        <f t="shared" ref="AB35" si="34">++-$H36*$F35/4</f>
        <v>0</v>
      </c>
      <c r="AC35" s="79">
        <f>++-AC34</f>
        <v>0</v>
      </c>
    </row>
    <row r="36" spans="1:29">
      <c r="A36" s="60"/>
      <c r="B36" s="60"/>
      <c r="C36" s="58" t="s">
        <v>89</v>
      </c>
      <c r="H36" s="82">
        <f>++H13</f>
        <v>0</v>
      </c>
      <c r="I36" s="72">
        <f>++SUM(I34:I35)</f>
        <v>0</v>
      </c>
      <c r="J36" s="72">
        <f t="shared" ref="J36" si="35">++SUM(J34:J35)</f>
        <v>0</v>
      </c>
      <c r="K36" s="72">
        <f t="shared" ref="K36" si="36">++SUM(K34:K35)</f>
        <v>0</v>
      </c>
      <c r="L36" s="72">
        <f t="shared" ref="L36" si="37">++SUM(L34:L35)</f>
        <v>0</v>
      </c>
      <c r="M36" s="72">
        <f t="shared" ref="M36" si="38">++SUM(M34:M35)</f>
        <v>0</v>
      </c>
      <c r="N36" s="72">
        <f t="shared" ref="N36" si="39">++SUM(N34:N35)</f>
        <v>0</v>
      </c>
      <c r="O36" s="72">
        <f t="shared" ref="O36" si="40">++SUM(O34:O35)</f>
        <v>0</v>
      </c>
      <c r="P36" s="72">
        <f t="shared" ref="P36" si="41">++SUM(P34:P35)</f>
        <v>0</v>
      </c>
      <c r="Q36" s="72">
        <f t="shared" ref="Q36" si="42">++SUM(Q34:Q35)</f>
        <v>0</v>
      </c>
      <c r="R36" s="72">
        <f t="shared" ref="R36" si="43">++SUM(R34:R35)</f>
        <v>0</v>
      </c>
      <c r="S36" s="72">
        <f t="shared" ref="S36" si="44">++SUM(S34:S35)</f>
        <v>0</v>
      </c>
      <c r="T36" s="72">
        <f t="shared" ref="T36" si="45">++SUM(T34:T35)</f>
        <v>0</v>
      </c>
      <c r="U36" s="72">
        <f t="shared" ref="U36" si="46">++SUM(U34:U35)</f>
        <v>0</v>
      </c>
      <c r="V36" s="72">
        <f t="shared" ref="V36" si="47">++SUM(V34:V35)</f>
        <v>0</v>
      </c>
      <c r="W36" s="72">
        <f t="shared" ref="W36" si="48">++SUM(W34:W35)</f>
        <v>0</v>
      </c>
      <c r="X36" s="72">
        <f t="shared" ref="X36" si="49">++SUM(X34:X35)</f>
        <v>0</v>
      </c>
      <c r="Y36" s="72">
        <f t="shared" ref="Y36" si="50">++SUM(Y34:Y35)</f>
        <v>0</v>
      </c>
      <c r="Z36" s="72">
        <f t="shared" ref="Z36" si="51">++SUM(Z34:Z35)</f>
        <v>0</v>
      </c>
      <c r="AA36" s="72">
        <f t="shared" ref="AA36" si="52">++SUM(AA34:AA35)</f>
        <v>0</v>
      </c>
      <c r="AB36" s="72">
        <f t="shared" ref="AB36:AC36" si="53">++SUM(AB34:AB35)</f>
        <v>0</v>
      </c>
      <c r="AC36" s="72">
        <f t="shared" si="53"/>
        <v>0</v>
      </c>
    </row>
    <row r="37" spans="1:29">
      <c r="A37" s="60"/>
      <c r="B37" s="60"/>
    </row>
    <row r="38" spans="1:29">
      <c r="A38" s="60"/>
      <c r="B38" s="60"/>
    </row>
    <row r="39" spans="1:29">
      <c r="A39" s="60"/>
      <c r="B39" s="60"/>
      <c r="C39" s="3" t="s">
        <v>90</v>
      </c>
      <c r="H39" s="93">
        <f>++H$16</f>
        <v>0</v>
      </c>
      <c r="I39" s="93">
        <f t="shared" ref="I39:AC39" si="54">++I$16</f>
        <v>0</v>
      </c>
      <c r="J39" s="93">
        <f t="shared" si="54"/>
        <v>0</v>
      </c>
      <c r="K39" s="93">
        <f t="shared" si="54"/>
        <v>0</v>
      </c>
      <c r="L39" s="93">
        <f t="shared" si="54"/>
        <v>0</v>
      </c>
      <c r="M39" s="93">
        <f t="shared" si="54"/>
        <v>0</v>
      </c>
      <c r="N39" s="93">
        <f t="shared" si="54"/>
        <v>0</v>
      </c>
      <c r="O39" s="93">
        <f t="shared" si="54"/>
        <v>0</v>
      </c>
      <c r="P39" s="93">
        <f t="shared" si="54"/>
        <v>0</v>
      </c>
      <c r="Q39" s="93">
        <f t="shared" si="54"/>
        <v>0</v>
      </c>
      <c r="R39" s="93">
        <f t="shared" si="54"/>
        <v>0</v>
      </c>
      <c r="S39" s="93">
        <f t="shared" si="54"/>
        <v>0</v>
      </c>
      <c r="T39" s="93">
        <f t="shared" si="54"/>
        <v>0</v>
      </c>
      <c r="U39" s="93">
        <f t="shared" si="54"/>
        <v>0</v>
      </c>
      <c r="V39" s="93">
        <f t="shared" si="54"/>
        <v>0</v>
      </c>
      <c r="W39" s="93">
        <f t="shared" si="54"/>
        <v>0</v>
      </c>
      <c r="X39" s="93">
        <f t="shared" si="54"/>
        <v>0</v>
      </c>
      <c r="Y39" s="93">
        <f t="shared" si="54"/>
        <v>0</v>
      </c>
      <c r="Z39" s="93">
        <f t="shared" si="54"/>
        <v>0</v>
      </c>
      <c r="AA39" s="93">
        <f t="shared" si="54"/>
        <v>0</v>
      </c>
      <c r="AB39" s="93">
        <f t="shared" si="54"/>
        <v>0</v>
      </c>
      <c r="AC39" s="93">
        <f t="shared" si="54"/>
        <v>0</v>
      </c>
    </row>
    <row r="40" spans="1:29">
      <c r="A40" s="60"/>
      <c r="B40" s="60"/>
      <c r="C40" s="3" t="s">
        <v>91</v>
      </c>
      <c r="F40" s="84">
        <f>++F$17</f>
        <v>0.01</v>
      </c>
      <c r="H40" s="77">
        <f>++$F40</f>
        <v>0.01</v>
      </c>
      <c r="I40" s="77">
        <f t="shared" ref="I40:AC41" si="55">++$F40</f>
        <v>0.01</v>
      </c>
      <c r="J40" s="77">
        <f t="shared" si="55"/>
        <v>0.01</v>
      </c>
      <c r="K40" s="77">
        <f t="shared" si="55"/>
        <v>0.01</v>
      </c>
      <c r="L40" s="77">
        <f t="shared" si="55"/>
        <v>0.01</v>
      </c>
      <c r="M40" s="77">
        <f t="shared" si="55"/>
        <v>0.01</v>
      </c>
      <c r="N40" s="77">
        <f t="shared" si="55"/>
        <v>0.01</v>
      </c>
      <c r="O40" s="77">
        <f t="shared" si="55"/>
        <v>0.01</v>
      </c>
      <c r="P40" s="77">
        <f t="shared" si="55"/>
        <v>0.01</v>
      </c>
      <c r="Q40" s="77">
        <f t="shared" si="55"/>
        <v>0.01</v>
      </c>
      <c r="R40" s="77">
        <f t="shared" si="55"/>
        <v>0.01</v>
      </c>
      <c r="S40" s="77">
        <f t="shared" si="55"/>
        <v>0.01</v>
      </c>
      <c r="T40" s="77">
        <f t="shared" si="55"/>
        <v>0.01</v>
      </c>
      <c r="U40" s="77">
        <f t="shared" si="55"/>
        <v>0.01</v>
      </c>
      <c r="V40" s="77">
        <f t="shared" si="55"/>
        <v>0.01</v>
      </c>
      <c r="W40" s="77">
        <f t="shared" si="55"/>
        <v>0.01</v>
      </c>
      <c r="X40" s="77">
        <f t="shared" si="55"/>
        <v>0.01</v>
      </c>
      <c r="Y40" s="77">
        <f t="shared" si="55"/>
        <v>0.01</v>
      </c>
      <c r="Z40" s="77">
        <f t="shared" si="55"/>
        <v>0.01</v>
      </c>
      <c r="AA40" s="77">
        <f t="shared" si="55"/>
        <v>0.01</v>
      </c>
      <c r="AB40" s="77">
        <f t="shared" si="55"/>
        <v>0.01</v>
      </c>
      <c r="AC40" s="77">
        <f t="shared" si="55"/>
        <v>0.01</v>
      </c>
    </row>
    <row r="41" spans="1:29">
      <c r="A41" s="60"/>
      <c r="B41" s="60"/>
      <c r="C41" s="18" t="s">
        <v>92</v>
      </c>
      <c r="D41" s="18"/>
      <c r="E41" s="18"/>
      <c r="F41" s="85">
        <f>++F$18</f>
        <v>5.5E-2</v>
      </c>
      <c r="H41" s="75">
        <f>++$F41</f>
        <v>5.5E-2</v>
      </c>
      <c r="I41" s="75">
        <f t="shared" si="55"/>
        <v>5.5E-2</v>
      </c>
      <c r="J41" s="75">
        <f t="shared" si="55"/>
        <v>5.5E-2</v>
      </c>
      <c r="K41" s="75">
        <f t="shared" si="55"/>
        <v>5.5E-2</v>
      </c>
      <c r="L41" s="75">
        <f t="shared" si="55"/>
        <v>5.5E-2</v>
      </c>
      <c r="M41" s="75">
        <f t="shared" si="55"/>
        <v>5.5E-2</v>
      </c>
      <c r="N41" s="75">
        <f t="shared" si="55"/>
        <v>5.5E-2</v>
      </c>
      <c r="O41" s="75">
        <f t="shared" si="55"/>
        <v>5.5E-2</v>
      </c>
      <c r="P41" s="75">
        <f t="shared" si="55"/>
        <v>5.5E-2</v>
      </c>
      <c r="Q41" s="75">
        <f t="shared" si="55"/>
        <v>5.5E-2</v>
      </c>
      <c r="R41" s="75">
        <f t="shared" si="55"/>
        <v>5.5E-2</v>
      </c>
      <c r="S41" s="75">
        <f t="shared" si="55"/>
        <v>5.5E-2</v>
      </c>
      <c r="T41" s="75">
        <f t="shared" si="55"/>
        <v>5.5E-2</v>
      </c>
      <c r="U41" s="75">
        <f t="shared" si="55"/>
        <v>5.5E-2</v>
      </c>
      <c r="V41" s="75">
        <f t="shared" si="55"/>
        <v>5.5E-2</v>
      </c>
      <c r="W41" s="75">
        <f t="shared" si="55"/>
        <v>5.5E-2</v>
      </c>
      <c r="X41" s="75">
        <f t="shared" si="55"/>
        <v>5.5E-2</v>
      </c>
      <c r="Y41" s="75">
        <f t="shared" si="55"/>
        <v>5.5E-2</v>
      </c>
      <c r="Z41" s="75">
        <f t="shared" si="55"/>
        <v>5.5E-2</v>
      </c>
      <c r="AA41" s="75">
        <f t="shared" si="55"/>
        <v>5.5E-2</v>
      </c>
      <c r="AB41" s="75">
        <f t="shared" si="55"/>
        <v>5.5E-2</v>
      </c>
      <c r="AC41" s="75">
        <f t="shared" si="55"/>
        <v>5.5E-2</v>
      </c>
    </row>
    <row r="42" spans="1:29">
      <c r="A42" s="60"/>
      <c r="B42" s="60"/>
      <c r="C42" s="58" t="s">
        <v>93</v>
      </c>
      <c r="H42" s="74">
        <f>++SUM(MAX(H39:H40),H41)</f>
        <v>6.5000000000000002E-2</v>
      </c>
      <c r="I42" s="74">
        <f t="shared" ref="I42" si="56">++SUM(MAX(I39:I40),I41)</f>
        <v>6.5000000000000002E-2</v>
      </c>
      <c r="J42" s="74">
        <f t="shared" ref="J42" si="57">++SUM(MAX(J39:J40),J41)</f>
        <v>6.5000000000000002E-2</v>
      </c>
      <c r="K42" s="74">
        <f t="shared" ref="K42" si="58">++SUM(MAX(K39:K40),K41)</f>
        <v>6.5000000000000002E-2</v>
      </c>
      <c r="L42" s="74">
        <f t="shared" ref="L42" si="59">++SUM(MAX(L39:L40),L41)</f>
        <v>6.5000000000000002E-2</v>
      </c>
      <c r="M42" s="74">
        <f t="shared" ref="M42" si="60">++SUM(MAX(M39:M40),M41)</f>
        <v>6.5000000000000002E-2</v>
      </c>
      <c r="N42" s="74">
        <f t="shared" ref="N42" si="61">++SUM(MAX(N39:N40),N41)</f>
        <v>6.5000000000000002E-2</v>
      </c>
      <c r="O42" s="74">
        <f t="shared" ref="O42" si="62">++SUM(MAX(O39:O40),O41)</f>
        <v>6.5000000000000002E-2</v>
      </c>
      <c r="P42" s="74">
        <f t="shared" ref="P42" si="63">++SUM(MAX(P39:P40),P41)</f>
        <v>6.5000000000000002E-2</v>
      </c>
      <c r="Q42" s="74">
        <f t="shared" ref="Q42" si="64">++SUM(MAX(Q39:Q40),Q41)</f>
        <v>6.5000000000000002E-2</v>
      </c>
      <c r="R42" s="74">
        <f t="shared" ref="R42" si="65">++SUM(MAX(R39:R40),R41)</f>
        <v>6.5000000000000002E-2</v>
      </c>
      <c r="S42" s="74">
        <f t="shared" ref="S42" si="66">++SUM(MAX(S39:S40),S41)</f>
        <v>6.5000000000000002E-2</v>
      </c>
      <c r="T42" s="74">
        <f t="shared" ref="T42" si="67">++SUM(MAX(T39:T40),T41)</f>
        <v>6.5000000000000002E-2</v>
      </c>
      <c r="U42" s="74">
        <f t="shared" ref="U42" si="68">++SUM(MAX(U39:U40),U41)</f>
        <v>6.5000000000000002E-2</v>
      </c>
      <c r="V42" s="74">
        <f t="shared" ref="V42" si="69">++SUM(MAX(V39:V40),V41)</f>
        <v>6.5000000000000002E-2</v>
      </c>
      <c r="W42" s="74">
        <f t="shared" ref="W42" si="70">++SUM(MAX(W39:W40),W41)</f>
        <v>6.5000000000000002E-2</v>
      </c>
      <c r="X42" s="74">
        <f t="shared" ref="X42" si="71">++SUM(MAX(X39:X40),X41)</f>
        <v>6.5000000000000002E-2</v>
      </c>
      <c r="Y42" s="74">
        <f t="shared" ref="Y42" si="72">++SUM(MAX(Y39:Y40),Y41)</f>
        <v>6.5000000000000002E-2</v>
      </c>
      <c r="Z42" s="74">
        <f t="shared" ref="Z42" si="73">++SUM(MAX(Z39:Z40),Z41)</f>
        <v>6.5000000000000002E-2</v>
      </c>
      <c r="AA42" s="74">
        <f t="shared" ref="AA42" si="74">++SUM(MAX(AA39:AA40),AA41)</f>
        <v>6.5000000000000002E-2</v>
      </c>
      <c r="AB42" s="74">
        <f t="shared" ref="AB42:AC42" si="75">++SUM(MAX(AB39:AB40),AB41)</f>
        <v>6.5000000000000002E-2</v>
      </c>
      <c r="AC42" s="74">
        <f t="shared" si="75"/>
        <v>6.5000000000000002E-2</v>
      </c>
    </row>
    <row r="43" spans="1:29">
      <c r="A43" s="60"/>
      <c r="B43" s="60"/>
    </row>
    <row r="44" spans="1:29">
      <c r="A44" s="60"/>
      <c r="B44" s="60"/>
    </row>
    <row r="45" spans="1:29">
      <c r="A45" s="60"/>
      <c r="B45" s="60"/>
      <c r="C45" s="3" t="s">
        <v>90</v>
      </c>
      <c r="H45" s="93">
        <f t="shared" ref="H45:AC45" si="76">++H$16</f>
        <v>0</v>
      </c>
      <c r="I45" s="93">
        <f t="shared" si="76"/>
        <v>0</v>
      </c>
      <c r="J45" s="93">
        <f t="shared" si="76"/>
        <v>0</v>
      </c>
      <c r="K45" s="93">
        <f t="shared" si="76"/>
        <v>0</v>
      </c>
      <c r="L45" s="93">
        <f t="shared" si="76"/>
        <v>0</v>
      </c>
      <c r="M45" s="93">
        <f t="shared" si="76"/>
        <v>0</v>
      </c>
      <c r="N45" s="93">
        <f t="shared" si="76"/>
        <v>0</v>
      </c>
      <c r="O45" s="93">
        <f t="shared" si="76"/>
        <v>0</v>
      </c>
      <c r="P45" s="93">
        <f t="shared" si="76"/>
        <v>0</v>
      </c>
      <c r="Q45" s="93">
        <f t="shared" si="76"/>
        <v>0</v>
      </c>
      <c r="R45" s="93">
        <f t="shared" si="76"/>
        <v>0</v>
      </c>
      <c r="S45" s="93">
        <f t="shared" si="76"/>
        <v>0</v>
      </c>
      <c r="T45" s="93">
        <f t="shared" si="76"/>
        <v>0</v>
      </c>
      <c r="U45" s="93">
        <f t="shared" si="76"/>
        <v>0</v>
      </c>
      <c r="V45" s="93">
        <f t="shared" si="76"/>
        <v>0</v>
      </c>
      <c r="W45" s="93">
        <f t="shared" si="76"/>
        <v>0</v>
      </c>
      <c r="X45" s="93">
        <f t="shared" si="76"/>
        <v>0</v>
      </c>
      <c r="Y45" s="93">
        <f t="shared" si="76"/>
        <v>0</v>
      </c>
      <c r="Z45" s="93">
        <f t="shared" si="76"/>
        <v>0</v>
      </c>
      <c r="AA45" s="93">
        <f t="shared" si="76"/>
        <v>0</v>
      </c>
      <c r="AB45" s="93">
        <f t="shared" si="76"/>
        <v>0</v>
      </c>
      <c r="AC45" s="93">
        <f t="shared" si="76"/>
        <v>0</v>
      </c>
    </row>
    <row r="46" spans="1:29">
      <c r="A46" s="60"/>
      <c r="B46" s="60"/>
      <c r="C46" s="3" t="s">
        <v>91</v>
      </c>
      <c r="F46" s="54">
        <v>0</v>
      </c>
      <c r="H46" s="77">
        <f t="shared" ref="H46:AC46" si="77">++$F46</f>
        <v>0</v>
      </c>
      <c r="I46" s="77">
        <f t="shared" si="77"/>
        <v>0</v>
      </c>
      <c r="J46" s="77">
        <f t="shared" si="77"/>
        <v>0</v>
      </c>
      <c r="K46" s="77">
        <f t="shared" si="77"/>
        <v>0</v>
      </c>
      <c r="L46" s="77">
        <f t="shared" si="77"/>
        <v>0</v>
      </c>
      <c r="M46" s="77">
        <f t="shared" si="77"/>
        <v>0</v>
      </c>
      <c r="N46" s="77">
        <f t="shared" si="77"/>
        <v>0</v>
      </c>
      <c r="O46" s="77">
        <f t="shared" si="77"/>
        <v>0</v>
      </c>
      <c r="P46" s="77">
        <f t="shared" si="77"/>
        <v>0</v>
      </c>
      <c r="Q46" s="77">
        <f t="shared" si="77"/>
        <v>0</v>
      </c>
      <c r="R46" s="77">
        <f t="shared" si="77"/>
        <v>0</v>
      </c>
      <c r="S46" s="77">
        <f t="shared" si="77"/>
        <v>0</v>
      </c>
      <c r="T46" s="77">
        <f t="shared" si="77"/>
        <v>0</v>
      </c>
      <c r="U46" s="77">
        <f t="shared" si="77"/>
        <v>0</v>
      </c>
      <c r="V46" s="77">
        <f t="shared" si="77"/>
        <v>0</v>
      </c>
      <c r="W46" s="77">
        <f t="shared" si="77"/>
        <v>0</v>
      </c>
      <c r="X46" s="77">
        <f t="shared" si="77"/>
        <v>0</v>
      </c>
      <c r="Y46" s="77">
        <f t="shared" si="77"/>
        <v>0</v>
      </c>
      <c r="Z46" s="77">
        <f t="shared" si="77"/>
        <v>0</v>
      </c>
      <c r="AA46" s="77">
        <f t="shared" si="77"/>
        <v>0</v>
      </c>
      <c r="AB46" s="77">
        <f t="shared" si="77"/>
        <v>0</v>
      </c>
      <c r="AC46" s="77">
        <f t="shared" si="77"/>
        <v>0</v>
      </c>
    </row>
    <row r="47" spans="1:29">
      <c r="A47" s="60"/>
      <c r="B47" s="60"/>
      <c r="C47" s="18" t="s">
        <v>92</v>
      </c>
      <c r="D47" s="18"/>
      <c r="E47" s="18"/>
      <c r="F47" s="86"/>
      <c r="H47" s="92">
        <f t="shared" ref="H47:AC47" ca="1" si="78">++INDEX($AG$91:$AG$97,MATCH(H$2,$AF$91:$AF$97,-1))</f>
        <v>2.35E-2</v>
      </c>
      <c r="I47" s="92">
        <f t="shared" ca="1" si="78"/>
        <v>2.35E-2</v>
      </c>
      <c r="J47" s="92">
        <f t="shared" ca="1" si="78"/>
        <v>2.35E-2</v>
      </c>
      <c r="K47" s="92">
        <f t="shared" ca="1" si="78"/>
        <v>2.35E-2</v>
      </c>
      <c r="L47" s="92">
        <f t="shared" ca="1" si="78"/>
        <v>2.35E-2</v>
      </c>
      <c r="M47" s="92">
        <f t="shared" ca="1" si="78"/>
        <v>2.35E-2</v>
      </c>
      <c r="N47" s="92">
        <f t="shared" ca="1" si="78"/>
        <v>2.35E-2</v>
      </c>
      <c r="O47" s="92">
        <f t="shared" ca="1" si="78"/>
        <v>2.35E-2</v>
      </c>
      <c r="P47" s="92">
        <f t="shared" ca="1" si="78"/>
        <v>2.35E-2</v>
      </c>
      <c r="Q47" s="92">
        <f t="shared" ca="1" si="78"/>
        <v>2.35E-2</v>
      </c>
      <c r="R47" s="92">
        <f t="shared" ca="1" si="78"/>
        <v>2.8500000000000001E-2</v>
      </c>
      <c r="S47" s="92">
        <f t="shared" ca="1" si="78"/>
        <v>2.8500000000000001E-2</v>
      </c>
      <c r="T47" s="92">
        <f t="shared" ca="1" si="78"/>
        <v>2.8500000000000001E-2</v>
      </c>
      <c r="U47" s="92">
        <f t="shared" ca="1" si="78"/>
        <v>2.8500000000000001E-2</v>
      </c>
      <c r="V47" s="92">
        <f t="shared" ca="1" si="78"/>
        <v>2.8500000000000001E-2</v>
      </c>
      <c r="W47" s="92">
        <f t="shared" ca="1" si="78"/>
        <v>2.8500000000000001E-2</v>
      </c>
      <c r="X47" s="92">
        <f t="shared" ca="1" si="78"/>
        <v>2.8500000000000001E-2</v>
      </c>
      <c r="Y47" s="92">
        <f t="shared" ca="1" si="78"/>
        <v>2.8500000000000001E-2</v>
      </c>
      <c r="Z47" s="92">
        <f t="shared" ca="1" si="78"/>
        <v>2.8500000000000001E-2</v>
      </c>
      <c r="AA47" s="92">
        <f t="shared" ca="1" si="78"/>
        <v>2.8500000000000001E-2</v>
      </c>
      <c r="AB47" s="92">
        <f t="shared" ca="1" si="78"/>
        <v>2.8500000000000001E-2</v>
      </c>
      <c r="AC47" s="92">
        <f t="shared" ca="1" si="78"/>
        <v>2.8500000000000001E-2</v>
      </c>
    </row>
    <row r="48" spans="1:29">
      <c r="A48" s="60"/>
      <c r="B48" s="60"/>
      <c r="C48" s="58" t="s">
        <v>102</v>
      </c>
      <c r="H48" s="102"/>
      <c r="I48" s="74">
        <f ca="1">++SUM(MAX(AVERAGE(H45:I45),I46),I47)</f>
        <v>2.35E-2</v>
      </c>
      <c r="J48" s="74">
        <f t="shared" ref="J48:AC48" ca="1" si="79">++SUM(MAX(AVERAGE(I45:J45),J46),J47)</f>
        <v>2.35E-2</v>
      </c>
      <c r="K48" s="74">
        <f t="shared" ca="1" si="79"/>
        <v>2.35E-2</v>
      </c>
      <c r="L48" s="74">
        <f t="shared" ca="1" si="79"/>
        <v>2.35E-2</v>
      </c>
      <c r="M48" s="74">
        <f t="shared" ca="1" si="79"/>
        <v>2.35E-2</v>
      </c>
      <c r="N48" s="74">
        <f t="shared" ca="1" si="79"/>
        <v>2.35E-2</v>
      </c>
      <c r="O48" s="74">
        <f t="shared" ca="1" si="79"/>
        <v>2.35E-2</v>
      </c>
      <c r="P48" s="74">
        <f t="shared" ca="1" si="79"/>
        <v>2.35E-2</v>
      </c>
      <c r="Q48" s="74">
        <f t="shared" ca="1" si="79"/>
        <v>2.35E-2</v>
      </c>
      <c r="R48" s="74">
        <f t="shared" ca="1" si="79"/>
        <v>2.8500000000000001E-2</v>
      </c>
      <c r="S48" s="74">
        <f t="shared" ca="1" si="79"/>
        <v>2.8500000000000001E-2</v>
      </c>
      <c r="T48" s="74">
        <f t="shared" ca="1" si="79"/>
        <v>2.8500000000000001E-2</v>
      </c>
      <c r="U48" s="74">
        <f t="shared" ca="1" si="79"/>
        <v>2.8500000000000001E-2</v>
      </c>
      <c r="V48" s="74">
        <f t="shared" ca="1" si="79"/>
        <v>2.8500000000000001E-2</v>
      </c>
      <c r="W48" s="74">
        <f t="shared" ca="1" si="79"/>
        <v>2.8500000000000001E-2</v>
      </c>
      <c r="X48" s="74">
        <f t="shared" ca="1" si="79"/>
        <v>2.8500000000000001E-2</v>
      </c>
      <c r="Y48" s="74">
        <f t="shared" ca="1" si="79"/>
        <v>2.8500000000000001E-2</v>
      </c>
      <c r="Z48" s="74">
        <f t="shared" ca="1" si="79"/>
        <v>2.8500000000000001E-2</v>
      </c>
      <c r="AA48" s="74">
        <f t="shared" ca="1" si="79"/>
        <v>2.8500000000000001E-2</v>
      </c>
      <c r="AB48" s="74">
        <f t="shared" ca="1" si="79"/>
        <v>2.8500000000000001E-2</v>
      </c>
      <c r="AC48" s="74">
        <f t="shared" ca="1" si="79"/>
        <v>2.8500000000000001E-2</v>
      </c>
    </row>
    <row r="49" spans="1:34">
      <c r="A49" s="60"/>
      <c r="B49" s="60"/>
    </row>
    <row r="50" spans="1:34">
      <c r="A50" s="60"/>
      <c r="B50" s="60"/>
    </row>
    <row r="51" spans="1:34">
      <c r="A51" s="60"/>
      <c r="B51" s="60"/>
      <c r="C51" s="3" t="s">
        <v>103</v>
      </c>
      <c r="F51" s="95">
        <f>++SUCAP!J36</f>
        <v>0</v>
      </c>
      <c r="H51" s="97">
        <f t="shared" ref="H51:AC51" si="80">++IFERROR(INDEX($AG$76:$AG$79,MATCH($F51,$AF$76:$AF$79,-1)),$AG$76)</f>
        <v>0.65</v>
      </c>
      <c r="I51" s="97">
        <f t="shared" si="80"/>
        <v>0.65</v>
      </c>
      <c r="J51" s="97">
        <f t="shared" si="80"/>
        <v>0.65</v>
      </c>
      <c r="K51" s="97">
        <f t="shared" si="80"/>
        <v>0.65</v>
      </c>
      <c r="L51" s="97">
        <f t="shared" si="80"/>
        <v>0.65</v>
      </c>
      <c r="M51" s="97">
        <f t="shared" si="80"/>
        <v>0.65</v>
      </c>
      <c r="N51" s="97">
        <f t="shared" si="80"/>
        <v>0.65</v>
      </c>
      <c r="O51" s="97">
        <f t="shared" si="80"/>
        <v>0.65</v>
      </c>
      <c r="P51" s="97">
        <f t="shared" si="80"/>
        <v>0.65</v>
      </c>
      <c r="Q51" s="97">
        <f t="shared" si="80"/>
        <v>0.65</v>
      </c>
      <c r="R51" s="97">
        <f t="shared" si="80"/>
        <v>0.65</v>
      </c>
      <c r="S51" s="97">
        <f t="shared" si="80"/>
        <v>0.65</v>
      </c>
      <c r="T51" s="97">
        <f t="shared" si="80"/>
        <v>0.65</v>
      </c>
      <c r="U51" s="97">
        <f t="shared" si="80"/>
        <v>0.65</v>
      </c>
      <c r="V51" s="97">
        <f t="shared" si="80"/>
        <v>0.65</v>
      </c>
      <c r="W51" s="97">
        <f t="shared" si="80"/>
        <v>0.65</v>
      </c>
      <c r="X51" s="97">
        <f t="shared" si="80"/>
        <v>0.65</v>
      </c>
      <c r="Y51" s="97">
        <f t="shared" si="80"/>
        <v>0.65</v>
      </c>
      <c r="Z51" s="97">
        <f t="shared" si="80"/>
        <v>0.65</v>
      </c>
      <c r="AA51" s="97">
        <f t="shared" si="80"/>
        <v>0.65</v>
      </c>
      <c r="AB51" s="97">
        <f t="shared" si="80"/>
        <v>0.65</v>
      </c>
      <c r="AC51" s="97">
        <f t="shared" si="80"/>
        <v>0.65</v>
      </c>
    </row>
    <row r="52" spans="1:34">
      <c r="A52" s="60"/>
      <c r="B52" s="60"/>
      <c r="C52" s="18" t="s">
        <v>104</v>
      </c>
      <c r="D52" s="18"/>
      <c r="E52" s="18"/>
      <c r="F52" s="94" t="s">
        <v>105</v>
      </c>
      <c r="H52" s="98">
        <f t="shared" ref="H52:AC52" si="81">++INDEX($AG$82:$AG$86,MATCH($F52,$AF$82:$AF$86,0))</f>
        <v>0.6</v>
      </c>
      <c r="I52" s="98">
        <f t="shared" si="81"/>
        <v>0.6</v>
      </c>
      <c r="J52" s="98">
        <f t="shared" si="81"/>
        <v>0.6</v>
      </c>
      <c r="K52" s="98">
        <f t="shared" si="81"/>
        <v>0.6</v>
      </c>
      <c r="L52" s="98">
        <f t="shared" si="81"/>
        <v>0.6</v>
      </c>
      <c r="M52" s="98">
        <f t="shared" si="81"/>
        <v>0.6</v>
      </c>
      <c r="N52" s="98">
        <f t="shared" si="81"/>
        <v>0.6</v>
      </c>
      <c r="O52" s="98">
        <f t="shared" si="81"/>
        <v>0.6</v>
      </c>
      <c r="P52" s="98">
        <f t="shared" si="81"/>
        <v>0.6</v>
      </c>
      <c r="Q52" s="98">
        <f t="shared" si="81"/>
        <v>0.6</v>
      </c>
      <c r="R52" s="98">
        <f t="shared" si="81"/>
        <v>0.6</v>
      </c>
      <c r="S52" s="98">
        <f t="shared" si="81"/>
        <v>0.6</v>
      </c>
      <c r="T52" s="98">
        <f t="shared" si="81"/>
        <v>0.6</v>
      </c>
      <c r="U52" s="98">
        <f t="shared" si="81"/>
        <v>0.6</v>
      </c>
      <c r="V52" s="98">
        <f t="shared" si="81"/>
        <v>0.6</v>
      </c>
      <c r="W52" s="98">
        <f t="shared" si="81"/>
        <v>0.6</v>
      </c>
      <c r="X52" s="98">
        <f t="shared" si="81"/>
        <v>0.6</v>
      </c>
      <c r="Y52" s="98">
        <f t="shared" si="81"/>
        <v>0.6</v>
      </c>
      <c r="Z52" s="98">
        <f t="shared" si="81"/>
        <v>0.6</v>
      </c>
      <c r="AA52" s="98">
        <f t="shared" si="81"/>
        <v>0.6</v>
      </c>
      <c r="AB52" s="98">
        <f t="shared" si="81"/>
        <v>0.6</v>
      </c>
      <c r="AC52" s="98">
        <f t="shared" si="81"/>
        <v>0.6</v>
      </c>
    </row>
    <row r="53" spans="1:34">
      <c r="A53" s="60"/>
      <c r="B53" s="60"/>
      <c r="C53" s="58" t="s">
        <v>106</v>
      </c>
      <c r="H53" s="99">
        <f>++MIN(H51:H52)</f>
        <v>0.6</v>
      </c>
      <c r="I53" s="99">
        <f t="shared" ref="I53:AB53" si="82">++MIN(I51:I52)</f>
        <v>0.6</v>
      </c>
      <c r="J53" s="99">
        <f t="shared" si="82"/>
        <v>0.6</v>
      </c>
      <c r="K53" s="99">
        <f t="shared" si="82"/>
        <v>0.6</v>
      </c>
      <c r="L53" s="99">
        <f t="shared" si="82"/>
        <v>0.6</v>
      </c>
      <c r="M53" s="99">
        <f t="shared" si="82"/>
        <v>0.6</v>
      </c>
      <c r="N53" s="99">
        <f t="shared" si="82"/>
        <v>0.6</v>
      </c>
      <c r="O53" s="99">
        <f t="shared" si="82"/>
        <v>0.6</v>
      </c>
      <c r="P53" s="99">
        <f t="shared" si="82"/>
        <v>0.6</v>
      </c>
      <c r="Q53" s="99">
        <f t="shared" si="82"/>
        <v>0.6</v>
      </c>
      <c r="R53" s="99">
        <f t="shared" si="82"/>
        <v>0.6</v>
      </c>
      <c r="S53" s="99">
        <f t="shared" si="82"/>
        <v>0.6</v>
      </c>
      <c r="T53" s="99">
        <f t="shared" si="82"/>
        <v>0.6</v>
      </c>
      <c r="U53" s="99">
        <f t="shared" si="82"/>
        <v>0.6</v>
      </c>
      <c r="V53" s="99">
        <f t="shared" si="82"/>
        <v>0.6</v>
      </c>
      <c r="W53" s="99">
        <f t="shared" si="82"/>
        <v>0.6</v>
      </c>
      <c r="X53" s="99">
        <f t="shared" si="82"/>
        <v>0.6</v>
      </c>
      <c r="Y53" s="99">
        <f t="shared" si="82"/>
        <v>0.6</v>
      </c>
      <c r="Z53" s="99">
        <f t="shared" si="82"/>
        <v>0.6</v>
      </c>
      <c r="AA53" s="99">
        <f t="shared" si="82"/>
        <v>0.6</v>
      </c>
      <c r="AB53" s="99">
        <f t="shared" si="82"/>
        <v>0.6</v>
      </c>
      <c r="AC53" s="99">
        <f t="shared" ref="AC53" si="83">++MIN(AC51:AC52)</f>
        <v>0.6</v>
      </c>
      <c r="AH53" s="78"/>
    </row>
    <row r="54" spans="1:34">
      <c r="A54" s="60"/>
      <c r="B54" s="60"/>
    </row>
    <row r="55" spans="1:34">
      <c r="A55" s="60"/>
      <c r="B55" s="60"/>
      <c r="AG55" s="63"/>
    </row>
    <row r="56" spans="1:34">
      <c r="A56" s="60"/>
      <c r="B56" s="60"/>
      <c r="C56" s="3" t="s">
        <v>107</v>
      </c>
      <c r="F56" s="70">
        <f>+(1.1/2.1*H13)/H53</f>
        <v>0</v>
      </c>
      <c r="H56" s="14">
        <f>++$F56</f>
        <v>0</v>
      </c>
      <c r="I56" s="14">
        <f t="shared" ref="I56:AC56" si="84">++$F56</f>
        <v>0</v>
      </c>
      <c r="J56" s="14">
        <f t="shared" si="84"/>
        <v>0</v>
      </c>
      <c r="K56" s="14">
        <f t="shared" si="84"/>
        <v>0</v>
      </c>
      <c r="L56" s="14">
        <f t="shared" si="84"/>
        <v>0</v>
      </c>
      <c r="M56" s="14">
        <f t="shared" si="84"/>
        <v>0</v>
      </c>
      <c r="N56" s="14">
        <f t="shared" si="84"/>
        <v>0</v>
      </c>
      <c r="O56" s="14">
        <f t="shared" si="84"/>
        <v>0</v>
      </c>
      <c r="P56" s="14">
        <f t="shared" si="84"/>
        <v>0</v>
      </c>
      <c r="Q56" s="14">
        <f t="shared" si="84"/>
        <v>0</v>
      </c>
      <c r="R56" s="14">
        <f t="shared" si="84"/>
        <v>0</v>
      </c>
      <c r="S56" s="14">
        <f t="shared" si="84"/>
        <v>0</v>
      </c>
      <c r="T56" s="14">
        <f t="shared" si="84"/>
        <v>0</v>
      </c>
      <c r="U56" s="14">
        <f t="shared" si="84"/>
        <v>0</v>
      </c>
      <c r="V56" s="14">
        <f t="shared" si="84"/>
        <v>0</v>
      </c>
      <c r="W56" s="14">
        <f t="shared" si="84"/>
        <v>0</v>
      </c>
      <c r="X56" s="14">
        <f t="shared" si="84"/>
        <v>0</v>
      </c>
      <c r="Y56" s="14">
        <f t="shared" si="84"/>
        <v>0</v>
      </c>
      <c r="Z56" s="14">
        <f t="shared" si="84"/>
        <v>0</v>
      </c>
      <c r="AA56" s="14">
        <f t="shared" si="84"/>
        <v>0</v>
      </c>
      <c r="AB56" s="14">
        <f t="shared" si="84"/>
        <v>0</v>
      </c>
      <c r="AC56" s="14">
        <f t="shared" si="84"/>
        <v>0</v>
      </c>
    </row>
    <row r="57" spans="1:34">
      <c r="A57" s="60"/>
      <c r="B57" s="60"/>
      <c r="C57" s="18" t="str">
        <f>++"( x ) "&amp;C53</f>
        <v>( x ) Overland Advance Rate</v>
      </c>
      <c r="D57" s="18"/>
      <c r="E57" s="18"/>
      <c r="F57" s="18"/>
      <c r="H57" s="68">
        <f>++H53</f>
        <v>0.6</v>
      </c>
      <c r="I57" s="68">
        <f t="shared" ref="I57:AB57" si="85">++I53</f>
        <v>0.6</v>
      </c>
      <c r="J57" s="68">
        <f t="shared" si="85"/>
        <v>0.6</v>
      </c>
      <c r="K57" s="68">
        <f t="shared" si="85"/>
        <v>0.6</v>
      </c>
      <c r="L57" s="68">
        <f t="shared" si="85"/>
        <v>0.6</v>
      </c>
      <c r="M57" s="68">
        <f t="shared" si="85"/>
        <v>0.6</v>
      </c>
      <c r="N57" s="68">
        <f t="shared" si="85"/>
        <v>0.6</v>
      </c>
      <c r="O57" s="68">
        <f t="shared" si="85"/>
        <v>0.6</v>
      </c>
      <c r="P57" s="68">
        <f t="shared" si="85"/>
        <v>0.6</v>
      </c>
      <c r="Q57" s="68">
        <f t="shared" si="85"/>
        <v>0.6</v>
      </c>
      <c r="R57" s="68">
        <f t="shared" si="85"/>
        <v>0.6</v>
      </c>
      <c r="S57" s="68">
        <f t="shared" si="85"/>
        <v>0.6</v>
      </c>
      <c r="T57" s="68">
        <f t="shared" si="85"/>
        <v>0.6</v>
      </c>
      <c r="U57" s="68">
        <f t="shared" si="85"/>
        <v>0.6</v>
      </c>
      <c r="V57" s="68">
        <f t="shared" si="85"/>
        <v>0.6</v>
      </c>
      <c r="W57" s="68">
        <f t="shared" si="85"/>
        <v>0.6</v>
      </c>
      <c r="X57" s="68">
        <f t="shared" si="85"/>
        <v>0.6</v>
      </c>
      <c r="Y57" s="68">
        <f t="shared" si="85"/>
        <v>0.6</v>
      </c>
      <c r="Z57" s="68">
        <f t="shared" si="85"/>
        <v>0.6</v>
      </c>
      <c r="AA57" s="68">
        <f t="shared" si="85"/>
        <v>0.6</v>
      </c>
      <c r="AB57" s="68">
        <f t="shared" si="85"/>
        <v>0.6</v>
      </c>
      <c r="AC57" s="68">
        <f t="shared" ref="AC57" si="86">++AC53</f>
        <v>0.6</v>
      </c>
    </row>
    <row r="58" spans="1:34">
      <c r="A58" s="60"/>
      <c r="B58" s="60"/>
      <c r="C58" s="58" t="s">
        <v>108</v>
      </c>
      <c r="H58" s="72">
        <f>++H56*H57</f>
        <v>0</v>
      </c>
      <c r="I58" s="72">
        <f t="shared" ref="I58:AB58" si="87">++I56*I57</f>
        <v>0</v>
      </c>
      <c r="J58" s="72">
        <f t="shared" si="87"/>
        <v>0</v>
      </c>
      <c r="K58" s="72">
        <f t="shared" si="87"/>
        <v>0</v>
      </c>
      <c r="L58" s="72">
        <f t="shared" si="87"/>
        <v>0</v>
      </c>
      <c r="M58" s="72">
        <f t="shared" si="87"/>
        <v>0</v>
      </c>
      <c r="N58" s="72">
        <f t="shared" si="87"/>
        <v>0</v>
      </c>
      <c r="O58" s="72">
        <f t="shared" si="87"/>
        <v>0</v>
      </c>
      <c r="P58" s="72">
        <f t="shared" si="87"/>
        <v>0</v>
      </c>
      <c r="Q58" s="72">
        <f t="shared" si="87"/>
        <v>0</v>
      </c>
      <c r="R58" s="72">
        <f t="shared" si="87"/>
        <v>0</v>
      </c>
      <c r="S58" s="72">
        <f t="shared" si="87"/>
        <v>0</v>
      </c>
      <c r="T58" s="72">
        <f t="shared" si="87"/>
        <v>0</v>
      </c>
      <c r="U58" s="72">
        <f t="shared" si="87"/>
        <v>0</v>
      </c>
      <c r="V58" s="72">
        <f t="shared" si="87"/>
        <v>0</v>
      </c>
      <c r="W58" s="72">
        <f t="shared" si="87"/>
        <v>0</v>
      </c>
      <c r="X58" s="72">
        <f t="shared" si="87"/>
        <v>0</v>
      </c>
      <c r="Y58" s="72">
        <f t="shared" si="87"/>
        <v>0</v>
      </c>
      <c r="Z58" s="72">
        <f t="shared" si="87"/>
        <v>0</v>
      </c>
      <c r="AA58" s="72">
        <f t="shared" si="87"/>
        <v>0</v>
      </c>
      <c r="AB58" s="72">
        <f t="shared" si="87"/>
        <v>0</v>
      </c>
      <c r="AC58" s="72">
        <f t="shared" ref="AC58" si="88">++AC56*AC57</f>
        <v>0</v>
      </c>
    </row>
    <row r="59" spans="1:34">
      <c r="A59" s="60"/>
      <c r="B59" s="60"/>
      <c r="H59" s="103"/>
    </row>
    <row r="60" spans="1:34">
      <c r="A60" s="60"/>
      <c r="B60" s="60"/>
    </row>
    <row r="61" spans="1:34">
      <c r="A61" s="60"/>
      <c r="B61" s="60"/>
      <c r="C61" s="3" t="s">
        <v>94</v>
      </c>
      <c r="H61" s="14">
        <f>++-H36</f>
        <v>0</v>
      </c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</row>
    <row r="62" spans="1:34">
      <c r="A62" s="60"/>
      <c r="B62" s="60"/>
      <c r="C62" s="3" t="s">
        <v>95</v>
      </c>
      <c r="F62" s="83">
        <f>++F$23</f>
        <v>0.02</v>
      </c>
      <c r="H62" s="15">
        <f>++-H61*$F62</f>
        <v>0</v>
      </c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</row>
    <row r="63" spans="1:34">
      <c r="A63" s="60"/>
      <c r="B63" s="60"/>
      <c r="C63" s="3" t="str">
        <f>++"( + ) "&amp;C58</f>
        <v>( + ) Overland Closing Backleverage</v>
      </c>
      <c r="H63" s="15">
        <f>++H58</f>
        <v>0</v>
      </c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</row>
    <row r="64" spans="1:34">
      <c r="A64" s="60"/>
      <c r="B64" s="60"/>
      <c r="C64" s="3" t="str">
        <f>++C24</f>
        <v>( + ) Borrower Interest Payments</v>
      </c>
      <c r="H64" s="4"/>
      <c r="I64" s="17">
        <f t="shared" ref="I64:AC64" ca="1" si="89">++H36*YEARFRAC(H$2,I$2,2)*H42</f>
        <v>0</v>
      </c>
      <c r="J64" s="17">
        <f t="shared" si="89"/>
        <v>0</v>
      </c>
      <c r="K64" s="17">
        <f t="shared" si="89"/>
        <v>0</v>
      </c>
      <c r="L64" s="17">
        <f t="shared" si="89"/>
        <v>0</v>
      </c>
      <c r="M64" s="17">
        <f t="shared" si="89"/>
        <v>0</v>
      </c>
      <c r="N64" s="17">
        <f t="shared" si="89"/>
        <v>0</v>
      </c>
      <c r="O64" s="17">
        <f t="shared" si="89"/>
        <v>0</v>
      </c>
      <c r="P64" s="17">
        <f t="shared" si="89"/>
        <v>0</v>
      </c>
      <c r="Q64" s="17">
        <f t="shared" si="89"/>
        <v>0</v>
      </c>
      <c r="R64" s="17">
        <f t="shared" si="89"/>
        <v>0</v>
      </c>
      <c r="S64" s="17">
        <f t="shared" si="89"/>
        <v>0</v>
      </c>
      <c r="T64" s="17">
        <f t="shared" si="89"/>
        <v>0</v>
      </c>
      <c r="U64" s="17">
        <f t="shared" si="89"/>
        <v>0</v>
      </c>
      <c r="V64" s="17">
        <f t="shared" si="89"/>
        <v>0</v>
      </c>
      <c r="W64" s="17">
        <f t="shared" si="89"/>
        <v>0</v>
      </c>
      <c r="X64" s="17">
        <f t="shared" si="89"/>
        <v>0</v>
      </c>
      <c r="Y64" s="17">
        <f t="shared" si="89"/>
        <v>0</v>
      </c>
      <c r="Z64" s="17">
        <f t="shared" si="89"/>
        <v>0</v>
      </c>
      <c r="AA64" s="17">
        <f t="shared" si="89"/>
        <v>0</v>
      </c>
      <c r="AB64" s="17">
        <f t="shared" si="89"/>
        <v>0</v>
      </c>
      <c r="AC64" s="17">
        <f t="shared" si="89"/>
        <v>0</v>
      </c>
    </row>
    <row r="65" spans="1:33">
      <c r="A65" s="60"/>
      <c r="B65" s="60"/>
      <c r="C65" s="3" t="str">
        <f t="shared" ref="C65" si="90">++C25</f>
        <v>( + ) Borrower Scheduled Principal Repayments</v>
      </c>
      <c r="H65" s="4"/>
      <c r="I65" s="4"/>
      <c r="J65" s="15">
        <f>++-J35</f>
        <v>0</v>
      </c>
      <c r="K65" s="15">
        <f t="shared" ref="K65:AB65" si="91">++-K35</f>
        <v>0</v>
      </c>
      <c r="L65" s="15">
        <f t="shared" si="91"/>
        <v>0</v>
      </c>
      <c r="M65" s="15">
        <f t="shared" si="91"/>
        <v>0</v>
      </c>
      <c r="N65" s="15">
        <f t="shared" si="91"/>
        <v>0</v>
      </c>
      <c r="O65" s="15">
        <f t="shared" si="91"/>
        <v>0</v>
      </c>
      <c r="P65" s="15">
        <f t="shared" si="91"/>
        <v>0</v>
      </c>
      <c r="Q65" s="15">
        <f t="shared" si="91"/>
        <v>0</v>
      </c>
      <c r="R65" s="15">
        <f t="shared" si="91"/>
        <v>0</v>
      </c>
      <c r="S65" s="15">
        <f t="shared" si="91"/>
        <v>0</v>
      </c>
      <c r="T65" s="15">
        <f t="shared" si="91"/>
        <v>0</v>
      </c>
      <c r="U65" s="15">
        <f t="shared" si="91"/>
        <v>0</v>
      </c>
      <c r="V65" s="15">
        <f t="shared" si="91"/>
        <v>0</v>
      </c>
      <c r="W65" s="15">
        <f t="shared" si="91"/>
        <v>0</v>
      </c>
      <c r="X65" s="15">
        <f t="shared" si="91"/>
        <v>0</v>
      </c>
      <c r="Y65" s="15">
        <f t="shared" si="91"/>
        <v>0</v>
      </c>
      <c r="Z65" s="15">
        <f t="shared" si="91"/>
        <v>0</v>
      </c>
      <c r="AA65" s="15">
        <f t="shared" si="91"/>
        <v>0</v>
      </c>
      <c r="AB65" s="15">
        <f t="shared" si="91"/>
        <v>0</v>
      </c>
      <c r="AC65" s="15">
        <f t="shared" ref="AC65" si="92">++-AC35</f>
        <v>0</v>
      </c>
    </row>
    <row r="66" spans="1:33">
      <c r="A66" s="60"/>
      <c r="B66" s="60"/>
      <c r="C66" s="3" t="s">
        <v>109</v>
      </c>
      <c r="H66" s="4"/>
      <c r="I66" s="15">
        <f ca="1">++-I58*YEARFRAC(H$2,I$2,2)*I48</f>
        <v>0</v>
      </c>
      <c r="J66" s="15">
        <f t="shared" ref="J66:AC66" ca="1" si="93">++-J58*YEARFRAC(I$2,J$2,2)*J48</f>
        <v>0</v>
      </c>
      <c r="K66" s="15">
        <f t="shared" ca="1" si="93"/>
        <v>0</v>
      </c>
      <c r="L66" s="15">
        <f t="shared" ca="1" si="93"/>
        <v>0</v>
      </c>
      <c r="M66" s="15">
        <f t="shared" ca="1" si="93"/>
        <v>0</v>
      </c>
      <c r="N66" s="15">
        <f t="shared" ca="1" si="93"/>
        <v>0</v>
      </c>
      <c r="O66" s="15">
        <f t="shared" ca="1" si="93"/>
        <v>0</v>
      </c>
      <c r="P66" s="15">
        <f t="shared" ca="1" si="93"/>
        <v>0</v>
      </c>
      <c r="Q66" s="15">
        <f t="shared" ca="1" si="93"/>
        <v>0</v>
      </c>
      <c r="R66" s="15">
        <f t="shared" ca="1" si="93"/>
        <v>0</v>
      </c>
      <c r="S66" s="15">
        <f t="shared" ca="1" si="93"/>
        <v>0</v>
      </c>
      <c r="T66" s="15">
        <f t="shared" ca="1" si="93"/>
        <v>0</v>
      </c>
      <c r="U66" s="15">
        <f t="shared" ca="1" si="93"/>
        <v>0</v>
      </c>
      <c r="V66" s="15">
        <f t="shared" ca="1" si="93"/>
        <v>0</v>
      </c>
      <c r="W66" s="15">
        <f t="shared" ca="1" si="93"/>
        <v>0</v>
      </c>
      <c r="X66" s="15">
        <f t="shared" ca="1" si="93"/>
        <v>0</v>
      </c>
      <c r="Y66" s="15">
        <f t="shared" ca="1" si="93"/>
        <v>0</v>
      </c>
      <c r="Z66" s="15">
        <f t="shared" ca="1" si="93"/>
        <v>0</v>
      </c>
      <c r="AA66" s="15">
        <f t="shared" ca="1" si="93"/>
        <v>0</v>
      </c>
      <c r="AB66" s="15">
        <f t="shared" ca="1" si="93"/>
        <v>0</v>
      </c>
      <c r="AC66" s="15">
        <f t="shared" ca="1" si="93"/>
        <v>0</v>
      </c>
    </row>
    <row r="67" spans="1:33">
      <c r="A67" s="60"/>
      <c r="B67" s="60"/>
      <c r="C67" s="3" t="s">
        <v>110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15">
        <f>++-AC58</f>
        <v>0</v>
      </c>
    </row>
    <row r="68" spans="1:33" ht="13.5" thickBot="1">
      <c r="A68" s="60"/>
      <c r="B68" s="60"/>
      <c r="C68" s="59" t="s">
        <v>111</v>
      </c>
      <c r="D68" s="56"/>
      <c r="E68" s="56"/>
      <c r="F68" s="56"/>
      <c r="H68" s="100">
        <f>++SUM(H61:H67)</f>
        <v>0</v>
      </c>
      <c r="I68" s="100">
        <f t="shared" ref="I68:AB68" ca="1" si="94">++SUM(I61:I67)</f>
        <v>0</v>
      </c>
      <c r="J68" s="100">
        <f t="shared" ca="1" si="94"/>
        <v>0</v>
      </c>
      <c r="K68" s="100">
        <f t="shared" ca="1" si="94"/>
        <v>0</v>
      </c>
      <c r="L68" s="100">
        <f t="shared" ca="1" si="94"/>
        <v>0</v>
      </c>
      <c r="M68" s="100">
        <f t="shared" ca="1" si="94"/>
        <v>0</v>
      </c>
      <c r="N68" s="100">
        <f t="shared" ca="1" si="94"/>
        <v>0</v>
      </c>
      <c r="O68" s="100">
        <f t="shared" ca="1" si="94"/>
        <v>0</v>
      </c>
      <c r="P68" s="100">
        <f t="shared" ca="1" si="94"/>
        <v>0</v>
      </c>
      <c r="Q68" s="100">
        <f t="shared" ca="1" si="94"/>
        <v>0</v>
      </c>
      <c r="R68" s="100">
        <f t="shared" ca="1" si="94"/>
        <v>0</v>
      </c>
      <c r="S68" s="100">
        <f t="shared" ca="1" si="94"/>
        <v>0</v>
      </c>
      <c r="T68" s="100">
        <f t="shared" ca="1" si="94"/>
        <v>0</v>
      </c>
      <c r="U68" s="100">
        <f t="shared" ca="1" si="94"/>
        <v>0</v>
      </c>
      <c r="V68" s="100">
        <f t="shared" ca="1" si="94"/>
        <v>0</v>
      </c>
      <c r="W68" s="100">
        <f t="shared" ca="1" si="94"/>
        <v>0</v>
      </c>
      <c r="X68" s="100">
        <f t="shared" ca="1" si="94"/>
        <v>0</v>
      </c>
      <c r="Y68" s="100">
        <f t="shared" ca="1" si="94"/>
        <v>0</v>
      </c>
      <c r="Z68" s="100">
        <f t="shared" ca="1" si="94"/>
        <v>0</v>
      </c>
      <c r="AA68" s="100">
        <f t="shared" ca="1" si="94"/>
        <v>0</v>
      </c>
      <c r="AB68" s="100">
        <f t="shared" ca="1" si="94"/>
        <v>0</v>
      </c>
      <c r="AC68" s="100">
        <f t="shared" ref="AC68" ca="1" si="95">++SUM(AC61:AC67)</f>
        <v>0</v>
      </c>
    </row>
    <row r="69" spans="1:33" ht="13.5" thickTop="1">
      <c r="A69" s="60"/>
      <c r="B69" s="60"/>
    </row>
    <row r="70" spans="1:33">
      <c r="A70" s="60"/>
      <c r="B70" s="60"/>
      <c r="C70" s="58" t="s">
        <v>112</v>
      </c>
      <c r="F70" s="80">
        <f ca="1">++IFERROR(SUM(I68:AC68)/-H68,0)</f>
        <v>0</v>
      </c>
    </row>
    <row r="71" spans="1:33">
      <c r="A71" s="60"/>
      <c r="B71" s="60"/>
      <c r="C71" s="58" t="s">
        <v>113</v>
      </c>
      <c r="F71" s="81">
        <f ca="1">++IFERROR(XIRR(H68:AC68,$H$2:$AC$2),0)</f>
        <v>0</v>
      </c>
    </row>
    <row r="72" spans="1:33">
      <c r="A72" s="60"/>
      <c r="B72" s="60"/>
    </row>
    <row r="73" spans="1:33">
      <c r="A73" s="60"/>
      <c r="B73" s="60"/>
    </row>
    <row r="74" spans="1:33" ht="15">
      <c r="A74" s="101" t="s">
        <v>0</v>
      </c>
      <c r="B74" s="101" t="s">
        <v>0</v>
      </c>
      <c r="AF74" s="55" t="s">
        <v>114</v>
      </c>
      <c r="AG74" s="55"/>
    </row>
    <row r="75" spans="1:33" ht="15">
      <c r="AF75" s="29" t="s">
        <v>115</v>
      </c>
      <c r="AG75" s="29" t="s">
        <v>116</v>
      </c>
    </row>
    <row r="76" spans="1:33">
      <c r="AF76" s="96">
        <v>6</v>
      </c>
      <c r="AG76" s="88">
        <v>0</v>
      </c>
    </row>
    <row r="77" spans="1:33">
      <c r="AF77" s="87">
        <v>6</v>
      </c>
      <c r="AG77" s="88">
        <v>0.6</v>
      </c>
    </row>
    <row r="78" spans="1:33">
      <c r="AF78" s="87">
        <v>4.5</v>
      </c>
      <c r="AG78" s="88">
        <v>0.65</v>
      </c>
    </row>
    <row r="79" spans="1:33">
      <c r="AF79" s="96">
        <v>0</v>
      </c>
      <c r="AG79" s="88">
        <v>0.65</v>
      </c>
    </row>
    <row r="81" spans="32:33" ht="15">
      <c r="AF81" s="29" t="s">
        <v>117</v>
      </c>
      <c r="AG81" s="29" t="s">
        <v>118</v>
      </c>
    </row>
    <row r="82" spans="32:33">
      <c r="AF82" s="89" t="s">
        <v>119</v>
      </c>
      <c r="AG82" s="88">
        <v>0.65</v>
      </c>
    </row>
    <row r="83" spans="32:33">
      <c r="AF83" s="89" t="s">
        <v>105</v>
      </c>
      <c r="AG83" s="88">
        <v>0.6</v>
      </c>
    </row>
    <row r="84" spans="32:33">
      <c r="AF84" s="89" t="s">
        <v>120</v>
      </c>
      <c r="AG84" s="88">
        <v>0.55000000000000004</v>
      </c>
    </row>
    <row r="85" spans="32:33">
      <c r="AF85" s="89" t="s">
        <v>121</v>
      </c>
      <c r="AG85" s="88">
        <v>0.5</v>
      </c>
    </row>
    <row r="86" spans="32:33">
      <c r="AF86" s="89" t="s">
        <v>122</v>
      </c>
      <c r="AG86" s="88">
        <v>0.35</v>
      </c>
    </row>
    <row r="89" spans="32:33" ht="15">
      <c r="AF89" s="55" t="s">
        <v>123</v>
      </c>
      <c r="AG89" s="55"/>
    </row>
    <row r="90" spans="32:33" ht="15">
      <c r="AF90" s="29" t="s">
        <v>124</v>
      </c>
      <c r="AG90" s="29" t="s">
        <v>92</v>
      </c>
    </row>
    <row r="91" spans="32:33">
      <c r="AF91" s="91">
        <f ca="1">++MAX($H$2:$AC$2)</f>
        <v>47422</v>
      </c>
      <c r="AG91" s="62">
        <f>++AG92</f>
        <v>2.8500000000000001E-2</v>
      </c>
    </row>
    <row r="92" spans="32:33">
      <c r="AF92" s="69">
        <f>++EDATE(AF97,5*12)</f>
        <v>47173</v>
      </c>
      <c r="AG92" s="90">
        <f>++AG93</f>
        <v>2.8500000000000001E-2</v>
      </c>
    </row>
    <row r="93" spans="32:33">
      <c r="AF93" s="69">
        <f>++EDATE(AF97,3*12)</f>
        <v>46442</v>
      </c>
      <c r="AG93" s="90">
        <v>2.8500000000000001E-2</v>
      </c>
    </row>
    <row r="94" spans="32:33">
      <c r="AF94" s="69">
        <f>++EDATE(AF97,3*12)-1</f>
        <v>46441</v>
      </c>
      <c r="AG94" s="90">
        <v>2.35E-2</v>
      </c>
    </row>
    <row r="95" spans="32:33">
      <c r="AF95" s="69">
        <f>++EDATE(AF96,3)</f>
        <v>45620</v>
      </c>
      <c r="AG95" s="90">
        <v>2.1000000000000001E-2</v>
      </c>
    </row>
    <row r="96" spans="32:33">
      <c r="AF96" s="69">
        <f>++EDATE(AF97,6)</f>
        <v>45528</v>
      </c>
      <c r="AG96" s="90">
        <v>1.7000000000000001E-2</v>
      </c>
    </row>
    <row r="97" spans="32:33">
      <c r="AF97" s="69">
        <v>45346</v>
      </c>
      <c r="AG97" s="90">
        <v>1.7000000000000001E-2</v>
      </c>
    </row>
  </sheetData>
  <sortState xmlns:xlrd2="http://schemas.microsoft.com/office/spreadsheetml/2017/richdata2" ref="A76:AJ79">
    <sortCondition descending="1" ref="AF79"/>
  </sortState>
  <dataValidations count="1">
    <dataValidation type="list" allowBlank="1" showInputMessage="1" showErrorMessage="1" sqref="F52" xr:uid="{1D9BACEC-0F59-4F10-9B23-7AF7862E13AE}">
      <formula1>$AF$82:$AF$86</formula1>
    </dataValidation>
  </dataValidations>
  <pageMargins left="0.7" right="0.7" top="0.75" bottom="0.75" header="0.3" footer="0.3"/>
  <customProperties>
    <customPr name="OrphanNamesChecked" r:id="rId1"/>
  </customPropertie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BGID xmlns="dc6d7f3b-2388-4907-95e9-67fe6707918b" xsi:nil="true"/>
    <Analyst xmlns="dc6d7f3b-2388-4907-95e9-67fe6707918b">
      <UserInfo>
        <DisplayName/>
        <AccountId xsi:nil="true"/>
        <AccountType/>
      </UserInfo>
    </Analyst>
    <OtherName xmlns="dc6d7f3b-2388-4907-95e9-67fe6707918b" xsi:nil="true"/>
    <LoanXID xmlns="dc6d7f3b-2388-4907-95e9-67fe6707918b" xsi:nil="true"/>
    <TaxCatchAll xmlns="5adca3f6-50e5-45d3-816d-7d8e2e1aafa3" xsi:nil="true"/>
    <lcf76f155ced4ddcb4097134ff3c332f xmlns="dc6d7f3b-2388-4907-95e9-67fe6707918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D5D7B6EDD6B944996098F92CD81FE4" ma:contentTypeVersion="20" ma:contentTypeDescription="Create a new document." ma:contentTypeScope="" ma:versionID="c2fbab9bba8e931dae7869dce07a7632">
  <xsd:schema xmlns:xsd="http://www.w3.org/2001/XMLSchema" xmlns:xs="http://www.w3.org/2001/XMLSchema" xmlns:p="http://schemas.microsoft.com/office/2006/metadata/properties" xmlns:ns2="dc6d7f3b-2388-4907-95e9-67fe6707918b" xmlns:ns3="5adca3f6-50e5-45d3-816d-7d8e2e1aafa3" targetNamespace="http://schemas.microsoft.com/office/2006/metadata/properties" ma:root="true" ma:fieldsID="7f9b71cf218f09fb69a31198b8827546" ns2:_="" ns3:_="">
    <xsd:import namespace="dc6d7f3b-2388-4907-95e9-67fe6707918b"/>
    <xsd:import namespace="5adca3f6-50e5-45d3-816d-7d8e2e1aaf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oanXID" minOccurs="0"/>
                <xsd:element ref="ns2:BBGID" minOccurs="0"/>
                <xsd:element ref="ns2:OtherName" minOccurs="0"/>
                <xsd:element ref="ns2:Analyst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6d7f3b-2388-4907-95e9-67fe670791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oanXID" ma:index="14" nillable="true" ma:displayName="LoanXID" ma:format="Dropdown" ma:internalName="LoanXID">
      <xsd:simpleType>
        <xsd:restriction base="dms:Text">
          <xsd:maxLength value="255"/>
        </xsd:restriction>
      </xsd:simpleType>
    </xsd:element>
    <xsd:element name="BBGID" ma:index="15" nillable="true" ma:displayName="BBG ID" ma:format="Dropdown" ma:internalName="BBGID">
      <xsd:simpleType>
        <xsd:restriction base="dms:Text">
          <xsd:maxLength value="255"/>
        </xsd:restriction>
      </xsd:simpleType>
    </xsd:element>
    <xsd:element name="OtherName" ma:index="16" nillable="true" ma:displayName="Other Name" ma:format="Dropdown" ma:internalName="OtherName">
      <xsd:simpleType>
        <xsd:restriction base="dms:Text">
          <xsd:maxLength value="255"/>
        </xsd:restriction>
      </xsd:simpleType>
    </xsd:element>
    <xsd:element name="Analyst" ma:index="17" nillable="true" ma:displayName="Analyst" ma:format="Dropdown" ma:list="UserInfo" ma:SharePointGroup="0" ma:internalName="Analyst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179f4741-edd0-46e2-ac4d-1126041b5b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6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ca3f6-50e5-45d3-816d-7d8e2e1aafa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746f4493-59bb-4c92-aa70-2de8333e7a5a}" ma:internalName="TaxCatchAll" ma:showField="CatchAllData" ma:web="5adca3f6-50e5-45d3-816d-7d8e2e1aaf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2A987B-FC0D-46EF-981B-B314BD53B446}"/>
</file>

<file path=customXml/itemProps2.xml><?xml version="1.0" encoding="utf-8"?>
<ds:datastoreItem xmlns:ds="http://schemas.openxmlformats.org/officeDocument/2006/customXml" ds:itemID="{24B5AD7F-E9C6-4211-BF79-2FE8D2A6DCB7}"/>
</file>

<file path=customXml/itemProps3.xml><?xml version="1.0" encoding="utf-8"?>
<ds:datastoreItem xmlns:ds="http://schemas.openxmlformats.org/officeDocument/2006/customXml" ds:itemID="{2B355369-2DF7-4105-B3D0-4B93A7C4A4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Jamie Anderson</dc:creator>
  <cp:keywords/>
  <dc:description/>
  <cp:lastModifiedBy>Lim, Peter</cp:lastModifiedBy>
  <cp:revision/>
  <dcterms:created xsi:type="dcterms:W3CDTF">2024-09-18T21:20:15Z</dcterms:created>
  <dcterms:modified xsi:type="dcterms:W3CDTF">2026-04-24T19:17:21Z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0x0101000CD5D7B6EDD6B944996098F92CD81FE4</vt:lpwstr>
  </property>
  <property fmtid="{D5CDD505-2E9C-101B-9397-08002B2CF9AE}" pid="3" name="MediaServiceImageTags">
    <vt:lpwstr/>
  </property>
</Properties>
</file>