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enterbridge.sharepoint.com/sites/Overland/Shared Documents/00 Underwriting Templates/03 Excel Templates/"/>
    </mc:Choice>
  </mc:AlternateContent>
  <xr:revisionPtr revIDLastSave="56" documentId="8_{F08ED05E-6E75-47B0-8D03-649E1E8741A5}" xr6:coauthVersionLast="47" xr6:coauthVersionMax="47" xr10:uidLastSave="{436F15AD-B0CD-4AD1-8D4F-569EE15088FF}"/>
  <bookViews>
    <workbookView xWindow="-120" yWindow="-120" windowWidth="29040" windowHeight="17640" xr2:uid="{420AF158-5ABD-4A59-8432-B88F9DDD5CC4}"/>
  </bookViews>
  <sheets>
    <sheet name="DDTL Draw" sheetId="1" r:id="rId1"/>
  </sheets>
  <definedNames>
    <definedName name="_xlnm.Print_Area" localSheetId="0">'DDTL Draw'!$C$5:$O$41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O35" i="1" s="1"/>
  <c r="J35" i="1"/>
  <c r="N34" i="1"/>
  <c r="J34" i="1"/>
  <c r="L24" i="1" l="1"/>
  <c r="H15" i="1"/>
  <c r="N26" i="1"/>
  <c r="N36" i="1"/>
  <c r="N30" i="1"/>
  <c r="N29" i="1"/>
  <c r="N27" i="1"/>
  <c r="J36" i="1" l="1"/>
  <c r="J30" i="1"/>
  <c r="J29" i="1"/>
  <c r="J28" i="1"/>
  <c r="J27" i="1"/>
  <c r="J26" i="1"/>
  <c r="N40" i="1"/>
  <c r="O34" i="1" s="1"/>
  <c r="I31" i="1"/>
  <c r="I32" i="1" l="1"/>
  <c r="J32" i="1" s="1"/>
  <c r="I37" i="1"/>
  <c r="J31" i="1"/>
  <c r="O26" i="1"/>
  <c r="O27" i="1"/>
  <c r="O29" i="1"/>
  <c r="O30" i="1"/>
  <c r="O36" i="1"/>
  <c r="I38" i="1" l="1"/>
  <c r="J38" i="1" s="1"/>
  <c r="J37" i="1"/>
  <c r="C3" i="1" l="1"/>
  <c r="N24" i="1" l="1"/>
  <c r="O15" i="1"/>
  <c r="L28" i="1"/>
  <c r="N28" i="1" s="1"/>
  <c r="N31" i="1" s="1"/>
  <c r="N37" i="1" s="1"/>
  <c r="L31" i="1"/>
  <c r="L32" i="1" s="1"/>
  <c r="O28" i="1" l="1"/>
  <c r="O31" i="1"/>
  <c r="N32" i="1"/>
  <c r="O32" i="1" s="1"/>
  <c r="L37" i="1"/>
  <c r="L38" i="1" s="1"/>
  <c r="O37" i="1" l="1"/>
  <c r="N38" i="1"/>
  <c r="O38" i="1" s="1"/>
</calcChain>
</file>

<file path=xl/sharedStrings.xml><?xml version="1.0" encoding="utf-8"?>
<sst xmlns="http://schemas.openxmlformats.org/spreadsheetml/2006/main" count="43" uniqueCount="36">
  <si>
    <t>DDTL Pro Forma Leverage</t>
  </si>
  <si>
    <t>USD in 000s, except where noted</t>
  </si>
  <si>
    <t>$</t>
  </si>
  <si>
    <t>Sources</t>
  </si>
  <si>
    <t>Uses</t>
  </si>
  <si>
    <t>Multiple</t>
  </si>
  <si>
    <t>+ / -</t>
  </si>
  <si>
    <t>Cash from Balance Sheet</t>
  </si>
  <si>
    <t>Total Sources</t>
  </si>
  <si>
    <t>Total Uses</t>
  </si>
  <si>
    <t>Financing Fees</t>
  </si>
  <si>
    <t>Transaction Expenses</t>
  </si>
  <si>
    <t>Pro Forma Capitalization</t>
  </si>
  <si>
    <t>x</t>
  </si>
  <si>
    <t>Cash &amp; Equivalents</t>
  </si>
  <si>
    <t>1L Term Loan B</t>
  </si>
  <si>
    <t>Capital Leases</t>
  </si>
  <si>
    <t>Total Debt</t>
  </si>
  <si>
    <t>Total Net Debt</t>
  </si>
  <si>
    <t>[Company Name]</t>
  </si>
  <si>
    <t>[Add-On] - DDTL Draw ([M/D/YY])</t>
  </si>
  <si>
    <t>LTM [M/YY]</t>
  </si>
  <si>
    <t>[Target]</t>
  </si>
  <si>
    <t>Pro Forma [M/YY]</t>
  </si>
  <si>
    <t>1L DDTL ($[X.X]MM)</t>
  </si>
  <si>
    <t>Priority Revolver ($[X.X]MM)</t>
  </si>
  <si>
    <t>LTM [M/YY] Consolidated EBITDA</t>
  </si>
  <si>
    <t>Senior Debt</t>
  </si>
  <si>
    <t>Senior Net Debt</t>
  </si>
  <si>
    <t>1L DDTL Draw</t>
  </si>
  <si>
    <t>Cash to Balance Sheet</t>
  </si>
  <si>
    <t>[Purchase Price Consideration / Capex / etc.]</t>
  </si>
  <si>
    <t>Seller Notes</t>
  </si>
  <si>
    <t>Other Senior Indebtedness</t>
  </si>
  <si>
    <t>Other Indebtedness</t>
  </si>
  <si>
    <t>Earnouts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</si>
</sst>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_);\(&quot;$&quot;#,##0\);&quot;$--&quot;_);@_)"/>
    <numFmt numFmtId="165" formatCode="#,##0_);\(#,##0\);&quot;--&quot;_);@_)"/>
    <numFmt numFmtId="166" formatCode="#,##0.00\x_);\(#,##0.00\x\);&quot;--x&quot;_);@_)"/>
  </numFmts>
  <fonts count="11" x14ac:knownFonts="1"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u val="singleAccounting"/>
      <sz val="1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3" fillId="0" borderId="7" xfId="0" applyFont="1" applyBorder="1"/>
    <xf numFmtId="0" fontId="5" fillId="0" borderId="0" xfId="0" applyFont="1"/>
    <xf numFmtId="0" fontId="1" fillId="2" borderId="0" xfId="0" applyFont="1" applyFill="1" applyAlignment="1">
      <alignment vertical="center"/>
    </xf>
    <xf numFmtId="0" fontId="3" fillId="2" borderId="0" xfId="0" applyFont="1" applyFill="1"/>
    <xf numFmtId="44" fontId="6" fillId="0" borderId="0" xfId="0" applyNumberFormat="1" applyFont="1" applyAlignment="1">
      <alignment horizontal="center"/>
    </xf>
    <xf numFmtId="164" fontId="3" fillId="0" borderId="0" xfId="0" applyNumberFormat="1" applyFont="1"/>
    <xf numFmtId="44" fontId="6" fillId="2" borderId="0" xfId="0" applyNumberFormat="1" applyFont="1" applyFill="1" applyAlignment="1">
      <alignment horizontal="centerContinuous"/>
    </xf>
    <xf numFmtId="44" fontId="7" fillId="2" borderId="0" xfId="0" applyNumberFormat="1" applyFont="1" applyFill="1" applyAlignment="1">
      <alignment horizontal="centerContinuous"/>
    </xf>
    <xf numFmtId="0" fontId="2" fillId="3" borderId="9" xfId="0" applyFont="1" applyFill="1" applyBorder="1"/>
    <xf numFmtId="0" fontId="3" fillId="3" borderId="9" xfId="0" applyFont="1" applyFill="1" applyBorder="1"/>
    <xf numFmtId="164" fontId="2" fillId="3" borderId="9" xfId="0" applyNumberFormat="1" applyFont="1" applyFill="1" applyBorder="1"/>
    <xf numFmtId="0" fontId="3" fillId="0" borderId="0" xfId="0" applyFont="1" applyAlignment="1">
      <alignment horizontal="center" vertical="center"/>
    </xf>
    <xf numFmtId="164" fontId="8" fillId="0" borderId="0" xfId="0" applyNumberFormat="1" applyFont="1"/>
    <xf numFmtId="164" fontId="8" fillId="4" borderId="0" xfId="0" applyNumberFormat="1" applyFont="1" applyFill="1"/>
    <xf numFmtId="165" fontId="8" fillId="4" borderId="0" xfId="0" applyNumberFormat="1" applyFont="1" applyFill="1"/>
    <xf numFmtId="0" fontId="5" fillId="0" borderId="0" xfId="0" applyFont="1" applyAlignment="1">
      <alignment horizontal="left" indent="1"/>
    </xf>
    <xf numFmtId="166" fontId="3" fillId="0" borderId="0" xfId="0" applyNumberFormat="1" applyFont="1"/>
    <xf numFmtId="164" fontId="5" fillId="0" borderId="0" xfId="0" applyNumberFormat="1" applyFont="1"/>
    <xf numFmtId="165" fontId="9" fillId="0" borderId="0" xfId="0" applyNumberFormat="1" applyFont="1"/>
    <xf numFmtId="165" fontId="9" fillId="0" borderId="7" xfId="0" applyNumberFormat="1" applyFont="1" applyBorder="1"/>
    <xf numFmtId="166" fontId="3" fillId="0" borderId="7" xfId="0" applyNumberFormat="1" applyFont="1" applyBorder="1"/>
    <xf numFmtId="166" fontId="5" fillId="0" borderId="0" xfId="0" applyNumberFormat="1" applyFont="1"/>
    <xf numFmtId="0" fontId="2" fillId="5" borderId="10" xfId="0" applyFont="1" applyFill="1" applyBorder="1"/>
    <xf numFmtId="0" fontId="3" fillId="5" borderId="11" xfId="0" applyFont="1" applyFill="1" applyBorder="1"/>
    <xf numFmtId="164" fontId="10" fillId="5" borderId="11" xfId="0" applyNumberFormat="1" applyFont="1" applyFill="1" applyBorder="1"/>
    <xf numFmtId="164" fontId="2" fillId="5" borderId="11" xfId="0" applyNumberFormat="1" applyFont="1" applyFill="1" applyBorder="1"/>
    <xf numFmtId="0" fontId="3" fillId="5" borderId="12" xfId="0" applyFont="1" applyFill="1" applyBorder="1"/>
    <xf numFmtId="0" fontId="2" fillId="3" borderId="0" xfId="0" applyFont="1" applyFill="1"/>
    <xf numFmtId="0" fontId="3" fillId="3" borderId="0" xfId="0" applyFont="1" applyFill="1"/>
    <xf numFmtId="164" fontId="2" fillId="3" borderId="0" xfId="0" applyNumberFormat="1" applyFont="1" applyFill="1"/>
    <xf numFmtId="8" fontId="3" fillId="0" borderId="0" xfId="0" applyNumberFormat="1" applyFont="1"/>
    <xf numFmtId="44" fontId="6" fillId="0" borderId="14" xfId="0" quotePrefix="1" applyNumberFormat="1" applyFont="1" applyBorder="1" applyAlignment="1">
      <alignment horizontal="center"/>
    </xf>
    <xf numFmtId="0" fontId="3" fillId="0" borderId="15" xfId="0" applyFont="1" applyBorder="1"/>
    <xf numFmtId="164" fontId="2" fillId="3" borderId="15" xfId="0" applyNumberFormat="1" applyFont="1" applyFill="1" applyBorder="1"/>
    <xf numFmtId="164" fontId="5" fillId="0" borderId="15" xfId="0" applyNumberFormat="1" applyFont="1" applyBorder="1"/>
    <xf numFmtId="0" fontId="3" fillId="0" borderId="18" xfId="0" applyFont="1" applyBorder="1"/>
    <xf numFmtId="165" fontId="8" fillId="4" borderId="7" xfId="0" applyNumberFormat="1" applyFont="1" applyFill="1" applyBorder="1"/>
    <xf numFmtId="164" fontId="10" fillId="4" borderId="17" xfId="0" applyNumberFormat="1" applyFont="1" applyFill="1" applyBorder="1"/>
    <xf numFmtId="164" fontId="3" fillId="0" borderId="15" xfId="0" applyNumberFormat="1" applyFont="1" applyBorder="1"/>
    <xf numFmtId="165" fontId="9" fillId="0" borderId="15" xfId="0" applyNumberFormat="1" applyFont="1" applyBorder="1"/>
    <xf numFmtId="165" fontId="3" fillId="0" borderId="15" xfId="0" applyNumberFormat="1" applyFont="1" applyBorder="1"/>
    <xf numFmtId="165" fontId="3" fillId="0" borderId="16" xfId="0" applyNumberFormat="1" applyFont="1" applyBorder="1"/>
    <xf numFmtId="0" fontId="2" fillId="5" borderId="1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2" fillId="5" borderId="4" xfId="0" applyFont="1" applyFill="1" applyBorder="1"/>
    <xf numFmtId="0" fontId="3" fillId="5" borderId="0" xfId="0" applyFont="1" applyFill="1"/>
    <xf numFmtId="0" fontId="3" fillId="5" borderId="5" xfId="0" applyFont="1" applyFill="1" applyBorder="1"/>
    <xf numFmtId="0" fontId="4" fillId="5" borderId="6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166" fontId="2" fillId="3" borderId="0" xfId="0" applyNumberFormat="1" applyFont="1" applyFill="1" applyBorder="1"/>
    <xf numFmtId="166" fontId="5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024 Centerbridge PPT Template">
  <a:themeElements>
    <a:clrScheme name="Overland">
      <a:dk1>
        <a:srgbClr val="2E3035"/>
      </a:dk1>
      <a:lt1>
        <a:srgbClr val="FFFFFF"/>
      </a:lt1>
      <a:dk2>
        <a:srgbClr val="00453F"/>
      </a:dk2>
      <a:lt2>
        <a:srgbClr val="F3F3F3"/>
      </a:lt2>
      <a:accent1>
        <a:srgbClr val="49839F"/>
      </a:accent1>
      <a:accent2>
        <a:srgbClr val="1C4A68"/>
      </a:accent2>
      <a:accent3>
        <a:srgbClr val="C5D097"/>
      </a:accent3>
      <a:accent4>
        <a:srgbClr val="328F85"/>
      </a:accent4>
      <a:accent5>
        <a:srgbClr val="9098A4"/>
      </a:accent5>
      <a:accent6>
        <a:srgbClr val="5D616C"/>
      </a:accent6>
      <a:hlink>
        <a:srgbClr val="49839F"/>
      </a:hlink>
      <a:folHlink>
        <a:srgbClr val="328F85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2024 Centerbridge PPT Template" id="{E338F891-CCA0-4B3E-B1B4-BAC7D2572629}" vid="{46F8C29D-BADC-4AC5-B9B3-5C7D1CE9F84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6983-5285-43CA-9329-DAD87A2E466B}">
  <sheetPr>
    <pageSetUpPr fitToPage="1"/>
  </sheetPr>
  <dimension ref="A1:S47"/>
  <sheetViews>
    <sheetView showGridLines="0" tabSelected="1" view="pageBreakPreview" zoomScale="85" zoomScaleNormal="100" zoomScaleSheetLayoutView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2.75" x14ac:dyDescent="0.2"/>
  <cols>
    <col min="1" max="2" width="2.7109375" style="1" customWidth="1"/>
    <col min="3" max="5" width="11.7109375" style="1" customWidth="1"/>
    <col min="6" max="7" width="2.7109375" style="1" customWidth="1"/>
    <col min="8" max="10" width="11.7109375" style="1" customWidth="1"/>
    <col min="11" max="11" width="2.7109375" style="1" customWidth="1"/>
    <col min="12" max="12" width="11.7109375" style="1" customWidth="1"/>
    <col min="13" max="13" width="2.7109375" style="1" customWidth="1"/>
    <col min="14" max="15" width="11.7109375" style="1" customWidth="1"/>
    <col min="16" max="18" width="9.140625" style="1"/>
    <col min="19" max="19" width="14" style="1" bestFit="1" customWidth="1"/>
    <col min="20" max="16384" width="9.140625" style="1"/>
  </cols>
  <sheetData>
    <row r="1" spans="1:15" x14ac:dyDescent="0.2">
      <c r="C1" s="44" t="s">
        <v>19</v>
      </c>
      <c r="D1" s="45"/>
      <c r="E1" s="46"/>
    </row>
    <row r="2" spans="1:15" x14ac:dyDescent="0.2">
      <c r="C2" s="47" t="s">
        <v>0</v>
      </c>
      <c r="D2" s="48"/>
      <c r="E2" s="49"/>
    </row>
    <row r="3" spans="1:15" x14ac:dyDescent="0.2">
      <c r="C3" s="50" t="str">
        <f ca="1">++TEXT(TODAY(),"MMMM D, YYYY")</f>
        <v>August 7, 2025</v>
      </c>
      <c r="D3" s="51"/>
      <c r="E3" s="52"/>
    </row>
    <row r="5" spans="1:15" x14ac:dyDescent="0.2">
      <c r="A5" s="13" t="s">
        <v>13</v>
      </c>
      <c r="B5" s="13" t="s">
        <v>13</v>
      </c>
      <c r="C5" s="4" t="s">
        <v>20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C6" s="3" t="s">
        <v>1</v>
      </c>
    </row>
    <row r="7" spans="1:15" ht="5.0999999999999996" customHeight="1" x14ac:dyDescent="0.2"/>
    <row r="8" spans="1:15" ht="15" x14ac:dyDescent="0.35">
      <c r="C8" s="9" t="s">
        <v>3</v>
      </c>
      <c r="D8" s="8"/>
      <c r="E8" s="8"/>
      <c r="F8" s="8"/>
      <c r="G8" s="8"/>
      <c r="H8" s="8"/>
      <c r="J8" s="9" t="s">
        <v>4</v>
      </c>
      <c r="K8" s="8"/>
      <c r="L8" s="8"/>
      <c r="M8" s="8"/>
      <c r="N8" s="8"/>
      <c r="O8" s="8"/>
    </row>
    <row r="9" spans="1:15" ht="5.0999999999999996" customHeight="1" x14ac:dyDescent="0.2"/>
    <row r="10" spans="1:15" x14ac:dyDescent="0.2">
      <c r="C10" s="1" t="s">
        <v>29</v>
      </c>
      <c r="H10" s="15">
        <v>0</v>
      </c>
      <c r="J10" s="1" t="s">
        <v>31</v>
      </c>
      <c r="O10" s="15">
        <v>0</v>
      </c>
    </row>
    <row r="11" spans="1:15" x14ac:dyDescent="0.2">
      <c r="C11" s="1" t="s">
        <v>7</v>
      </c>
      <c r="H11" s="16">
        <v>0</v>
      </c>
      <c r="J11" s="1" t="s">
        <v>30</v>
      </c>
      <c r="O11" s="16">
        <v>0</v>
      </c>
    </row>
    <row r="12" spans="1:15" x14ac:dyDescent="0.2">
      <c r="J12" s="1" t="s">
        <v>10</v>
      </c>
      <c r="O12" s="16">
        <v>0</v>
      </c>
    </row>
    <row r="13" spans="1:15" x14ac:dyDescent="0.2">
      <c r="J13" s="1" t="s">
        <v>11</v>
      </c>
      <c r="O13" s="16">
        <v>0</v>
      </c>
    </row>
    <row r="14" spans="1:15" ht="5.0999999999999996" customHeight="1" x14ac:dyDescent="0.2"/>
    <row r="15" spans="1:15" ht="13.5" thickBot="1" x14ac:dyDescent="0.25">
      <c r="C15" s="10" t="s">
        <v>8</v>
      </c>
      <c r="D15" s="11"/>
      <c r="E15" s="11"/>
      <c r="F15" s="11"/>
      <c r="G15" s="11"/>
      <c r="H15" s="12">
        <f>++SUM(H10:H14)</f>
        <v>0</v>
      </c>
      <c r="J15" s="10" t="s">
        <v>9</v>
      </c>
      <c r="K15" s="11"/>
      <c r="L15" s="11"/>
      <c r="M15" s="11"/>
      <c r="N15" s="11"/>
      <c r="O15" s="12">
        <f>++SUM(O10:O14)</f>
        <v>0</v>
      </c>
    </row>
    <row r="16" spans="1:15" ht="13.5" thickTop="1" x14ac:dyDescent="0.2"/>
    <row r="18" spans="2:15" x14ac:dyDescent="0.2">
      <c r="B18" s="13" t="s">
        <v>13</v>
      </c>
      <c r="C18" s="4" t="s">
        <v>12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ht="5.0999999999999996" customHeight="1" x14ac:dyDescent="0.2"/>
    <row r="20" spans="2:15" ht="15" x14ac:dyDescent="0.35">
      <c r="C20" s="3" t="s">
        <v>1</v>
      </c>
      <c r="I20" s="9" t="s">
        <v>21</v>
      </c>
      <c r="J20" s="9"/>
      <c r="L20" s="9" t="s">
        <v>22</v>
      </c>
      <c r="N20" s="9" t="s">
        <v>23</v>
      </c>
      <c r="O20" s="9"/>
    </row>
    <row r="21" spans="2:15" ht="5.0999999999999996" customHeight="1" x14ac:dyDescent="0.2"/>
    <row r="22" spans="2:15" ht="15" x14ac:dyDescent="0.35">
      <c r="I22" s="6" t="s">
        <v>2</v>
      </c>
      <c r="J22" s="6" t="s">
        <v>5</v>
      </c>
      <c r="L22" s="33" t="s">
        <v>6</v>
      </c>
      <c r="N22" s="6" t="s">
        <v>2</v>
      </c>
      <c r="O22" s="6" t="s">
        <v>5</v>
      </c>
    </row>
    <row r="23" spans="2:15" ht="5.0999999999999996" customHeight="1" x14ac:dyDescent="0.2">
      <c r="L23" s="34"/>
    </row>
    <row r="24" spans="2:15" x14ac:dyDescent="0.2">
      <c r="C24" s="1" t="s">
        <v>14</v>
      </c>
      <c r="I24" s="14">
        <v>0</v>
      </c>
      <c r="L24" s="40">
        <f>++SUM(-H11,O11)</f>
        <v>0</v>
      </c>
      <c r="N24" s="7">
        <f>++SUM(I24,L24)</f>
        <v>0</v>
      </c>
    </row>
    <row r="25" spans="2:15" x14ac:dyDescent="0.2">
      <c r="L25" s="34"/>
    </row>
    <row r="26" spans="2:15" x14ac:dyDescent="0.2">
      <c r="C26" s="1" t="s">
        <v>25</v>
      </c>
      <c r="I26" s="16">
        <v>0</v>
      </c>
      <c r="J26" s="18">
        <f>++IFERROR(I26/I$40,0)</f>
        <v>0</v>
      </c>
      <c r="L26" s="42">
        <v>0</v>
      </c>
      <c r="N26" s="20">
        <f t="shared" ref="N26:N30" si="0">++SUM(I26,L26)</f>
        <v>0</v>
      </c>
      <c r="O26" s="18">
        <f>++IFERROR(N26/N$40,0)</f>
        <v>0</v>
      </c>
    </row>
    <row r="27" spans="2:15" x14ac:dyDescent="0.2">
      <c r="C27" s="1" t="s">
        <v>15</v>
      </c>
      <c r="I27" s="16">
        <v>0</v>
      </c>
      <c r="J27" s="18">
        <f>++IFERROR(I27/I$40,0)</f>
        <v>0</v>
      </c>
      <c r="L27" s="42">
        <v>0</v>
      </c>
      <c r="N27" s="20">
        <f t="shared" si="0"/>
        <v>0</v>
      </c>
      <c r="O27" s="18">
        <f>++IFERROR(N27/N$40,0)</f>
        <v>0</v>
      </c>
    </row>
    <row r="28" spans="2:15" x14ac:dyDescent="0.2">
      <c r="C28" s="1" t="s">
        <v>24</v>
      </c>
      <c r="I28" s="16">
        <v>0</v>
      </c>
      <c r="J28" s="18">
        <f>++IFERROR(I28/I$40,0)</f>
        <v>0</v>
      </c>
      <c r="L28" s="41">
        <f>++H10</f>
        <v>0</v>
      </c>
      <c r="N28" s="20">
        <f t="shared" si="0"/>
        <v>0</v>
      </c>
      <c r="O28" s="18">
        <f>++IFERROR(N28/N$40,0)</f>
        <v>0</v>
      </c>
    </row>
    <row r="29" spans="2:15" x14ac:dyDescent="0.2">
      <c r="C29" s="1" t="s">
        <v>16</v>
      </c>
      <c r="I29" s="16">
        <v>0</v>
      </c>
      <c r="J29" s="18">
        <f>++IFERROR(I29/I$40,0)</f>
        <v>0</v>
      </c>
      <c r="L29" s="42">
        <v>0</v>
      </c>
      <c r="N29" s="20">
        <f t="shared" si="0"/>
        <v>0</v>
      </c>
      <c r="O29" s="18">
        <f>++IFERROR(N29/N$40,0)</f>
        <v>0</v>
      </c>
    </row>
    <row r="30" spans="2:15" x14ac:dyDescent="0.2">
      <c r="C30" s="2" t="s">
        <v>33</v>
      </c>
      <c r="D30" s="2"/>
      <c r="E30" s="2"/>
      <c r="F30" s="2"/>
      <c r="G30" s="2"/>
      <c r="H30" s="2"/>
      <c r="I30" s="38">
        <v>0</v>
      </c>
      <c r="J30" s="22">
        <f>++IFERROR(I30/I$40,0)</f>
        <v>0</v>
      </c>
      <c r="L30" s="43">
        <v>0</v>
      </c>
      <c r="N30" s="21">
        <f t="shared" si="0"/>
        <v>0</v>
      </c>
      <c r="O30" s="22">
        <f>++IFERROR(N30/N$40,0)</f>
        <v>0</v>
      </c>
    </row>
    <row r="31" spans="2:15" x14ac:dyDescent="0.2">
      <c r="C31" s="29" t="s">
        <v>27</v>
      </c>
      <c r="D31" s="30"/>
      <c r="E31" s="30"/>
      <c r="F31" s="30"/>
      <c r="G31" s="30"/>
      <c r="H31" s="30"/>
      <c r="I31" s="31">
        <f>++SUM(I26:I30)</f>
        <v>0</v>
      </c>
      <c r="J31" s="53">
        <f>++IFERROR(I31/I$40,0)</f>
        <v>0</v>
      </c>
      <c r="L31" s="35">
        <f>++SUM(L26:L30)</f>
        <v>0</v>
      </c>
      <c r="N31" s="31">
        <f>++SUM(N26:N30)</f>
        <v>0</v>
      </c>
      <c r="O31" s="53">
        <f>++IFERROR(N31/N$40,0)</f>
        <v>0</v>
      </c>
    </row>
    <row r="32" spans="2:15" x14ac:dyDescent="0.2">
      <c r="C32" s="17" t="s">
        <v>28</v>
      </c>
      <c r="I32" s="19">
        <f>++I31-I$24</f>
        <v>0</v>
      </c>
      <c r="J32" s="23">
        <f>++IFERROR(I32/I$40,0)</f>
        <v>0</v>
      </c>
      <c r="L32" s="36">
        <f>++L31-L$24</f>
        <v>0</v>
      </c>
      <c r="N32" s="19">
        <f>++N31-N$24</f>
        <v>0</v>
      </c>
      <c r="O32" s="23">
        <f>++IFERROR(N32/N$40,0)</f>
        <v>0</v>
      </c>
    </row>
    <row r="33" spans="1:19" x14ac:dyDescent="0.2">
      <c r="L33" s="34"/>
    </row>
    <row r="34" spans="1:19" x14ac:dyDescent="0.2">
      <c r="C34" s="1" t="s">
        <v>32</v>
      </c>
      <c r="I34" s="16">
        <v>0</v>
      </c>
      <c r="J34" s="18">
        <f>++IFERROR(I34/I$40,0)</f>
        <v>0</v>
      </c>
      <c r="L34" s="42">
        <v>0</v>
      </c>
      <c r="N34" s="20">
        <f t="shared" ref="N34" si="1">++SUM(I34,L34)</f>
        <v>0</v>
      </c>
      <c r="O34" s="18">
        <f>++IFERROR(N34/N$40,0)</f>
        <v>0</v>
      </c>
    </row>
    <row r="35" spans="1:19" x14ac:dyDescent="0.2">
      <c r="C35" s="1" t="s">
        <v>35</v>
      </c>
      <c r="I35" s="16">
        <v>0</v>
      </c>
      <c r="J35" s="18">
        <f t="shared" ref="J35" si="2">++IFERROR(I35/I$40,0)</f>
        <v>0</v>
      </c>
      <c r="L35" s="42">
        <v>0</v>
      </c>
      <c r="N35" s="20">
        <f t="shared" ref="N35" si="3">++SUM(I35,L35)</f>
        <v>0</v>
      </c>
      <c r="O35" s="18">
        <f t="shared" ref="O35" si="4">++IFERROR(N35/N$40,0)</f>
        <v>0</v>
      </c>
    </row>
    <row r="36" spans="1:19" x14ac:dyDescent="0.2">
      <c r="C36" s="2" t="s">
        <v>34</v>
      </c>
      <c r="D36" s="2"/>
      <c r="E36" s="2"/>
      <c r="F36" s="2"/>
      <c r="G36" s="2"/>
      <c r="H36" s="2"/>
      <c r="I36" s="38">
        <v>0</v>
      </c>
      <c r="J36" s="22">
        <f>++IFERROR(I36/I$40,0)</f>
        <v>0</v>
      </c>
      <c r="L36" s="43">
        <v>0</v>
      </c>
      <c r="N36" s="21">
        <f t="shared" ref="N36" si="5">++SUM(I36,L36)</f>
        <v>0</v>
      </c>
      <c r="O36" s="22">
        <f>++IFERROR(N36/N$40,0)</f>
        <v>0</v>
      </c>
    </row>
    <row r="37" spans="1:19" ht="13.5" thickBot="1" x14ac:dyDescent="0.25">
      <c r="C37" s="29" t="s">
        <v>17</v>
      </c>
      <c r="D37" s="30"/>
      <c r="E37" s="30"/>
      <c r="F37" s="30"/>
      <c r="G37" s="30"/>
      <c r="H37" s="30"/>
      <c r="I37" s="31">
        <f>++SUM(I31,I34:I36)</f>
        <v>0</v>
      </c>
      <c r="J37" s="53">
        <f>++IFERROR(I37/I$40,0)</f>
        <v>0</v>
      </c>
      <c r="L37" s="35">
        <f>++SUM(L31,L36)</f>
        <v>0</v>
      </c>
      <c r="N37" s="31">
        <f>++SUM(N31,N34:N36)</f>
        <v>0</v>
      </c>
      <c r="O37" s="53">
        <f>++IFERROR(N37/N$40,0)</f>
        <v>0</v>
      </c>
    </row>
    <row r="38" spans="1:19" ht="13.5" thickBot="1" x14ac:dyDescent="0.25">
      <c r="C38" s="17" t="s">
        <v>18</v>
      </c>
      <c r="I38" s="19">
        <f>++I37-I$24</f>
        <v>0</v>
      </c>
      <c r="J38" s="54">
        <f>++IFERROR(I38/I$40,0)</f>
        <v>0</v>
      </c>
      <c r="L38" s="36">
        <f>++L37-L$24</f>
        <v>0</v>
      </c>
      <c r="N38" s="19">
        <f>++N37-N$24</f>
        <v>0</v>
      </c>
      <c r="O38" s="54">
        <f>++IFERROR(N38/N$40,0)</f>
        <v>0</v>
      </c>
    </row>
    <row r="39" spans="1:19" x14ac:dyDescent="0.2">
      <c r="L39" s="34"/>
    </row>
    <row r="40" spans="1:19" x14ac:dyDescent="0.2">
      <c r="C40" s="24" t="s">
        <v>26</v>
      </c>
      <c r="D40" s="25"/>
      <c r="E40" s="25"/>
      <c r="F40" s="25"/>
      <c r="G40" s="25"/>
      <c r="H40" s="25"/>
      <c r="I40" s="26">
        <v>0</v>
      </c>
      <c r="J40" s="25"/>
      <c r="K40" s="25"/>
      <c r="L40" s="39">
        <v>0</v>
      </c>
      <c r="M40" s="25"/>
      <c r="N40" s="27">
        <f>++SUM(I40,L40)</f>
        <v>0</v>
      </c>
      <c r="O40" s="28"/>
    </row>
    <row r="41" spans="1:19" ht="5.0999999999999996" customHeight="1" x14ac:dyDescent="0.2">
      <c r="L41" s="37"/>
    </row>
    <row r="43" spans="1:19" x14ac:dyDescent="0.2">
      <c r="S43" s="32"/>
    </row>
    <row r="44" spans="1:19" x14ac:dyDescent="0.2">
      <c r="A44" s="13" t="s">
        <v>13</v>
      </c>
      <c r="B44" s="13" t="s">
        <v>13</v>
      </c>
      <c r="S44" s="32"/>
    </row>
    <row r="45" spans="1:19" x14ac:dyDescent="0.2">
      <c r="S45" s="32"/>
    </row>
    <row r="46" spans="1:19" x14ac:dyDescent="0.2">
      <c r="S46" s="32"/>
    </row>
    <row r="47" spans="1:19" x14ac:dyDescent="0.2">
      <c r="S47" s="32"/>
    </row>
  </sheetData>
  <pageMargins left="0.25" right="0.25" top="0.25" bottom="0.25" header="0.3" footer="0.3"/>
  <pageSetup scale="98" fitToHeight="0" orientation="portrait" verticalDpi="0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BGID xmlns="dc6d7f3b-2388-4907-95e9-67fe6707918b" xsi:nil="true"/>
    <Analyst xmlns="dc6d7f3b-2388-4907-95e9-67fe6707918b">
      <UserInfo>
        <DisplayName/>
        <AccountId xsi:nil="true"/>
        <AccountType/>
      </UserInfo>
    </Analyst>
    <OtherName xmlns="dc6d7f3b-2388-4907-95e9-67fe6707918b" xsi:nil="true"/>
    <TaxCatchAll xmlns="5adca3f6-50e5-45d3-816d-7d8e2e1aafa3" xsi:nil="true"/>
    <lcf76f155ced4ddcb4097134ff3c332f xmlns="dc6d7f3b-2388-4907-95e9-67fe6707918b">
      <Terms xmlns="http://schemas.microsoft.com/office/infopath/2007/PartnerControls"/>
    </lcf76f155ced4ddcb4097134ff3c332f>
    <LoanXID xmlns="dc6d7f3b-2388-4907-95e9-67fe670791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5D7B6EDD6B944996098F92CD81FE4" ma:contentTypeVersion="19" ma:contentTypeDescription="Create a new document." ma:contentTypeScope="" ma:versionID="841ebe45a083ffa7270dd5f003936ad7">
  <xsd:schema xmlns:xsd="http://www.w3.org/2001/XMLSchema" xmlns:xs="http://www.w3.org/2001/XMLSchema" xmlns:p="http://schemas.microsoft.com/office/2006/metadata/properties" xmlns:ns2="dc6d7f3b-2388-4907-95e9-67fe6707918b" xmlns:ns3="5adca3f6-50e5-45d3-816d-7d8e2e1aafa3" targetNamespace="http://schemas.microsoft.com/office/2006/metadata/properties" ma:root="true" ma:fieldsID="2203c323c46c822c428ea5860e61b1b1" ns2:_="" ns3:_="">
    <xsd:import namespace="dc6d7f3b-2388-4907-95e9-67fe6707918b"/>
    <xsd:import namespace="5adca3f6-50e5-45d3-816d-7d8e2e1aa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oanXID" minOccurs="0"/>
                <xsd:element ref="ns2:BBGID" minOccurs="0"/>
                <xsd:element ref="ns2:OtherName" minOccurs="0"/>
                <xsd:element ref="ns2:Analys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d7f3b-2388-4907-95e9-67fe67079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anXID" ma:index="14" nillable="true" ma:displayName="LoanXID" ma:format="Dropdown" ma:internalName="LoanXID">
      <xsd:simpleType>
        <xsd:restriction base="dms:Text">
          <xsd:maxLength value="255"/>
        </xsd:restriction>
      </xsd:simpleType>
    </xsd:element>
    <xsd:element name="BBGID" ma:index="15" nillable="true" ma:displayName="BBG ID" ma:format="Dropdown" ma:internalName="BBGID">
      <xsd:simpleType>
        <xsd:restriction base="dms:Text">
          <xsd:maxLength value="255"/>
        </xsd:restriction>
      </xsd:simpleType>
    </xsd:element>
    <xsd:element name="OtherName" ma:index="16" nillable="true" ma:displayName="Other Name" ma:format="Dropdown" ma:internalName="OtherName">
      <xsd:simpleType>
        <xsd:restriction base="dms:Text">
          <xsd:maxLength value="255"/>
        </xsd:restriction>
      </xsd:simpleType>
    </xsd:element>
    <xsd:element name="Analyst" ma:index="17" nillable="true" ma:displayName="Analyst" ma:format="Dropdown" ma:list="UserInfo" ma:SharePointGroup="0" ma:internalName="Analys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79f4741-edd0-46e2-ac4d-1126041b5b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ca3f6-50e5-45d3-816d-7d8e2e1aa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6f4493-59bb-4c92-aa70-2de8333e7a5a}" ma:internalName="TaxCatchAll" ma:showField="CatchAllData" ma:web="5adca3f6-50e5-45d3-816d-7d8e2e1aaf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307F72-39F6-4848-8F79-0945DF1990E9}">
  <ds:schemaRefs>
    <ds:schemaRef ds:uri="http://schemas.microsoft.com/office/2006/metadata/properties"/>
    <ds:schemaRef ds:uri="http://schemas.microsoft.com/office/infopath/2007/PartnerControls"/>
    <ds:schemaRef ds:uri="dc6d7f3b-2388-4907-95e9-67fe6707918b"/>
    <ds:schemaRef ds:uri="5adca3f6-50e5-45d3-816d-7d8e2e1aafa3"/>
  </ds:schemaRefs>
</ds:datastoreItem>
</file>

<file path=customXml/itemProps2.xml><?xml version="1.0" encoding="utf-8"?>
<ds:datastoreItem xmlns:ds="http://schemas.openxmlformats.org/officeDocument/2006/customXml" ds:itemID="{94E8894C-7B7F-4F92-A1D4-D89AFB2B18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3534C5-3426-4983-B818-49095579C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d7f3b-2388-4907-95e9-67fe6707918b"/>
    <ds:schemaRef ds:uri="5adca3f6-50e5-45d3-816d-7d8e2e1aa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DDTL Draw</vt:lpstr>
      <vt:lpstr>'DDTL Draw'!Print_Area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Anderson</dc:creator>
  <cp:lastModifiedBy>Jamie Anderson</cp:lastModifiedBy>
  <dcterms:created xsi:type="dcterms:W3CDTF">2025-08-07T16:11:25Z</dcterms:created>
  <dcterms:modified xsi:type="dcterms:W3CDTF">2025-08-07T21:47:01Z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0x0101000CD5D7B6EDD6B944996098F92CD81FE4</vt:lpwstr>
  </property>
  <property fmtid="{D5CDD505-2E9C-101B-9397-08002B2CF9AE}" pid="3" name="MediaServiceImageTags">
    <vt:lpwstr/>
  </property>
</Properties>
</file>